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wztyd5\Desktop\"/>
    </mc:Choice>
  </mc:AlternateContent>
  <xr:revisionPtr revIDLastSave="0" documentId="13_ncr:1_{11FE081F-6DA4-4298-8A0D-795A9F47F589}" xr6:coauthVersionLast="47" xr6:coauthVersionMax="47" xr10:uidLastSave="{00000000-0000-0000-0000-000000000000}"/>
  <bookViews>
    <workbookView xWindow="-108" yWindow="-108" windowWidth="23256" windowHeight="12456" activeTab="2" xr2:uid="{AD74BEB8-43BD-4E52-A510-A0F7F0429C06}"/>
  </bookViews>
  <sheets>
    <sheet name="Conf" sheetId="2" r:id="rId1"/>
    <sheet name="bd" sheetId="12" r:id="rId2"/>
    <sheet name="Despesas" sheetId="1" r:id="rId3"/>
    <sheet name="ResumoFinanceiro" sheetId="11" r:id="rId4"/>
    <sheet name="Investimento" sheetId="5" r:id="rId5"/>
    <sheet name="Planilha2" sheetId="6" state="hidden" r:id="rId6"/>
  </sheets>
  <definedNames>
    <definedName name="SegmentaçãodeDados_DESCRIÇÃO">#N/A</definedName>
    <definedName name="tipos">#REF!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5" l="1"/>
  <c r="K24" i="5" a="1"/>
  <c r="K24" i="5" s="1"/>
  <c r="K23" i="5" a="1"/>
  <c r="K23" i="5" s="1"/>
  <c r="L14" i="5"/>
  <c r="L9" i="5"/>
  <c r="K6" i="5"/>
  <c r="K3" i="5" s="1"/>
  <c r="C61" i="6"/>
  <c r="E59" i="6"/>
  <c r="E57" i="6"/>
  <c r="E55" i="6"/>
  <c r="E54" i="6"/>
  <c r="E52" i="6"/>
  <c r="E50" i="6"/>
  <c r="E49" i="6"/>
  <c r="E47" i="6"/>
  <c r="E45" i="6"/>
  <c r="E43" i="6"/>
  <c r="E42" i="6"/>
  <c r="E40" i="6"/>
  <c r="E38" i="6"/>
  <c r="E37" i="6"/>
  <c r="E35" i="6"/>
  <c r="E33" i="6"/>
  <c r="E31" i="6"/>
  <c r="E30" i="6"/>
  <c r="F30" i="6" s="1"/>
  <c r="D30" i="6"/>
  <c r="G30" i="6" s="1"/>
  <c r="B31" i="6" s="1"/>
  <c r="C27" i="6"/>
  <c r="E26" i="6"/>
  <c r="E25" i="6"/>
  <c r="E23" i="6"/>
  <c r="E21" i="6"/>
  <c r="E20" i="6"/>
  <c r="E18" i="6"/>
  <c r="E16" i="6"/>
  <c r="E14" i="6"/>
  <c r="E13" i="6"/>
  <c r="E11" i="6"/>
  <c r="E9" i="6"/>
  <c r="E8" i="6"/>
  <c r="E6" i="6"/>
  <c r="E4" i="6"/>
  <c r="D3" i="6"/>
  <c r="E1" i="6"/>
  <c r="E56" i="6" s="1"/>
  <c r="K22" i="5" a="1"/>
  <c r="K22" i="5" s="1"/>
  <c r="K21" i="5" a="1"/>
  <c r="K21" i="5" s="1"/>
  <c r="K20" i="5" a="1"/>
  <c r="K20" i="5" s="1"/>
  <c r="K19" i="5" a="1"/>
  <c r="K19" i="5" s="1"/>
  <c r="K18" i="5" a="1"/>
  <c r="K18" i="5" s="1"/>
  <c r="L15" i="5"/>
  <c r="L13" i="5"/>
  <c r="L12" i="5"/>
  <c r="L11" i="5"/>
  <c r="L10" i="5"/>
  <c r="O9" i="5" l="1"/>
  <c r="N9" i="5" s="1" a="1"/>
  <c r="N9" i="5" s="1"/>
  <c r="O13" i="5"/>
  <c r="N13" i="5" s="1" a="1"/>
  <c r="N13" i="5" s="1"/>
  <c r="O10" i="5"/>
  <c r="N10" i="5" s="1" a="1"/>
  <c r="N10" i="5" s="1"/>
  <c r="O14" i="5"/>
  <c r="N14" i="5" s="1" a="1"/>
  <c r="N14" i="5" s="1"/>
  <c r="O12" i="5"/>
  <c r="N12" i="5" s="1" a="1"/>
  <c r="N12" i="5" s="1"/>
  <c r="O15" i="5"/>
  <c r="N15" i="5" s="1" a="1"/>
  <c r="N15" i="5" s="1"/>
  <c r="O11" i="5"/>
  <c r="N11" i="5" s="1" a="1"/>
  <c r="N11" i="5" s="1"/>
  <c r="D31" i="6"/>
  <c r="G31" i="6" s="1"/>
  <c r="B32" i="6" s="1"/>
  <c r="F31" i="6"/>
  <c r="E7" i="6"/>
  <c r="E19" i="6"/>
  <c r="E36" i="6"/>
  <c r="E48" i="6"/>
  <c r="E60" i="6"/>
  <c r="E12" i="6"/>
  <c r="E24" i="6"/>
  <c r="E41" i="6"/>
  <c r="E53" i="6"/>
  <c r="E5" i="6"/>
  <c r="E17" i="6"/>
  <c r="E34" i="6"/>
  <c r="E46" i="6"/>
  <c r="E58" i="6"/>
  <c r="E10" i="6"/>
  <c r="E22" i="6"/>
  <c r="E39" i="6"/>
  <c r="E51" i="6"/>
  <c r="E3" i="6"/>
  <c r="F3" i="6" s="1"/>
  <c r="E15" i="6"/>
  <c r="E32" i="6"/>
  <c r="E44" i="6"/>
  <c r="L18" i="5"/>
  <c r="M14" i="5" l="1"/>
  <c r="L23" i="5" s="1"/>
  <c r="M9" i="5"/>
  <c r="M13" i="5"/>
  <c r="L22" i="5" s="1"/>
  <c r="M15" i="5"/>
  <c r="M11" i="5"/>
  <c r="L20" i="5" s="1"/>
  <c r="M10" i="5"/>
  <c r="L19" i="5" s="1"/>
  <c r="M12" i="5"/>
  <c r="L21" i="5" s="1"/>
  <c r="G3" i="6"/>
  <c r="B4" i="6" s="1"/>
  <c r="D32" i="6"/>
  <c r="F32" i="6"/>
  <c r="G32" i="6" l="1"/>
  <c r="B33" i="6" s="1"/>
  <c r="F4" i="6"/>
  <c r="D4" i="6"/>
  <c r="G4" i="6" s="1"/>
  <c r="B5" i="6" s="1"/>
  <c r="F5" i="6" l="1"/>
  <c r="D5" i="6"/>
  <c r="G5" i="6" s="1"/>
  <c r="B6" i="6" s="1"/>
  <c r="F33" i="6"/>
  <c r="D33" i="6"/>
  <c r="G33" i="6" s="1"/>
  <c r="B34" i="6" s="1"/>
  <c r="F34" i="6" l="1"/>
  <c r="D34" i="6"/>
  <c r="G34" i="6" s="1"/>
  <c r="B35" i="6" s="1"/>
  <c r="F6" i="6"/>
  <c r="D6" i="6"/>
  <c r="D35" i="6" l="1"/>
  <c r="F35" i="6"/>
  <c r="G6" i="6"/>
  <c r="B7" i="6" s="1"/>
  <c r="D7" i="6" l="1"/>
  <c r="F7" i="6"/>
  <c r="G35" i="6"/>
  <c r="B36" i="6" s="1"/>
  <c r="D36" i="6" l="1"/>
  <c r="F36" i="6"/>
  <c r="G7" i="6"/>
  <c r="B8" i="6" s="1"/>
  <c r="D8" i="6" l="1"/>
  <c r="F8" i="6"/>
  <c r="G36" i="6"/>
  <c r="B37" i="6" s="1"/>
  <c r="D37" i="6" l="1"/>
  <c r="F37" i="6"/>
  <c r="G8" i="6"/>
  <c r="B9" i="6" s="1"/>
  <c r="F9" i="6" l="1"/>
  <c r="D9" i="6"/>
  <c r="G9" i="6" s="1"/>
  <c r="B10" i="6" s="1"/>
  <c r="G37" i="6"/>
  <c r="B38" i="6" s="1"/>
  <c r="F38" i="6" l="1"/>
  <c r="D38" i="6"/>
  <c r="F10" i="6"/>
  <c r="D10" i="6"/>
  <c r="G10" i="6" l="1"/>
  <c r="B11" i="6" s="1"/>
  <c r="G38" i="6"/>
  <c r="B39" i="6" s="1"/>
  <c r="D11" i="6" l="1"/>
  <c r="F11" i="6"/>
  <c r="F39" i="6"/>
  <c r="D39" i="6"/>
  <c r="G39" i="6" s="1"/>
  <c r="B40" i="6" s="1"/>
  <c r="F40" i="6" l="1"/>
  <c r="D40" i="6"/>
  <c r="G40" i="6" s="1"/>
  <c r="B41" i="6" s="1"/>
  <c r="G11" i="6"/>
  <c r="B12" i="6" s="1"/>
  <c r="F12" i="6" l="1"/>
  <c r="D12" i="6"/>
  <c r="G12" i="6" s="1"/>
  <c r="B13" i="6" s="1"/>
  <c r="F41" i="6"/>
  <c r="D41" i="6"/>
  <c r="G41" i="6" s="1"/>
  <c r="B42" i="6" s="1"/>
  <c r="F13" i="6" l="1"/>
  <c r="D13" i="6"/>
  <c r="G13" i="6" s="1"/>
  <c r="B14" i="6" s="1"/>
  <c r="D42" i="6"/>
  <c r="F42" i="6"/>
  <c r="G42" i="6" l="1"/>
  <c r="B43" i="6" s="1"/>
  <c r="D14" i="6"/>
  <c r="G14" i="6" s="1"/>
  <c r="B15" i="6" s="1"/>
  <c r="F14" i="6"/>
  <c r="D15" i="6" l="1"/>
  <c r="F15" i="6"/>
  <c r="D43" i="6"/>
  <c r="F43" i="6"/>
  <c r="G43" i="6" l="1"/>
  <c r="B44" i="6" s="1"/>
  <c r="G15" i="6"/>
  <c r="B16" i="6" s="1"/>
  <c r="F16" i="6" l="1"/>
  <c r="D16" i="6"/>
  <c r="G16" i="6" s="1"/>
  <c r="B17" i="6" s="1"/>
  <c r="D44" i="6"/>
  <c r="F44" i="6"/>
  <c r="G44" i="6" l="1"/>
  <c r="B45" i="6" s="1"/>
  <c r="F17" i="6"/>
  <c r="D17" i="6"/>
  <c r="G17" i="6" s="1"/>
  <c r="B18" i="6" s="1"/>
  <c r="D18" i="6" l="1"/>
  <c r="F18" i="6"/>
  <c r="F45" i="6"/>
  <c r="D45" i="6"/>
  <c r="G45" i="6" s="1"/>
  <c r="B46" i="6" s="1"/>
  <c r="F46" i="6" l="1"/>
  <c r="D46" i="6"/>
  <c r="G46" i="6" s="1"/>
  <c r="B47" i="6" s="1"/>
  <c r="G18" i="6"/>
  <c r="B19" i="6" s="1"/>
  <c r="D19" i="6" l="1"/>
  <c r="F19" i="6"/>
  <c r="D47" i="6"/>
  <c r="F47" i="6"/>
  <c r="G47" i="6" l="1"/>
  <c r="B48" i="6" s="1"/>
  <c r="G19" i="6"/>
  <c r="B20" i="6" s="1"/>
  <c r="D20" i="6" l="1"/>
  <c r="F20" i="6"/>
  <c r="D48" i="6"/>
  <c r="F48" i="6"/>
  <c r="G48" i="6" l="1"/>
  <c r="B49" i="6" s="1"/>
  <c r="G20" i="6"/>
  <c r="B21" i="6" s="1"/>
  <c r="F21" i="6" l="1"/>
  <c r="D21" i="6"/>
  <c r="G21" i="6" s="1"/>
  <c r="B22" i="6" s="1"/>
  <c r="D49" i="6"/>
  <c r="F49" i="6"/>
  <c r="G49" i="6" l="1"/>
  <c r="B50" i="6" s="1"/>
  <c r="F22" i="6"/>
  <c r="D22" i="6"/>
  <c r="G22" i="6" s="1"/>
  <c r="B23" i="6" s="1"/>
  <c r="F23" i="6" l="1"/>
  <c r="D23" i="6"/>
  <c r="G23" i="6" s="1"/>
  <c r="B24" i="6" s="1"/>
  <c r="F50" i="6"/>
  <c r="D50" i="6"/>
  <c r="G50" i="6" l="1"/>
  <c r="B51" i="6" s="1"/>
  <c r="F24" i="6"/>
  <c r="D24" i="6"/>
  <c r="G24" i="6" s="1"/>
  <c r="B25" i="6" s="1"/>
  <c r="F25" i="6" l="1"/>
  <c r="D25" i="6"/>
  <c r="G25" i="6" s="1"/>
  <c r="B26" i="6" s="1"/>
  <c r="F51" i="6"/>
  <c r="D51" i="6"/>
  <c r="G51" i="6" s="1"/>
  <c r="B52" i="6" s="1"/>
  <c r="D26" i="6" l="1"/>
  <c r="F26" i="6"/>
  <c r="F27" i="6" s="1"/>
  <c r="F52" i="6"/>
  <c r="D52" i="6"/>
  <c r="G52" i="6" s="1"/>
  <c r="B53" i="6" s="1"/>
  <c r="F53" i="6" l="1"/>
  <c r="D53" i="6"/>
  <c r="G53" i="6" s="1"/>
  <c r="B54" i="6" s="1"/>
  <c r="G26" i="6"/>
  <c r="H26" i="6" s="1"/>
  <c r="D54" i="6" l="1"/>
  <c r="F54" i="6"/>
  <c r="G54" i="6" l="1"/>
  <c r="B55" i="6" s="1"/>
  <c r="D55" i="6" l="1"/>
  <c r="G55" i="6" s="1"/>
  <c r="B56" i="6" s="1"/>
  <c r="F55" i="6"/>
  <c r="D56" i="6" l="1"/>
  <c r="F56" i="6"/>
  <c r="G56" i="6" l="1"/>
  <c r="B57" i="6" s="1"/>
  <c r="F57" i="6" l="1"/>
  <c r="D57" i="6"/>
  <c r="G57" i="6" s="1"/>
  <c r="B58" i="6" s="1"/>
  <c r="F58" i="6" l="1"/>
  <c r="D58" i="6"/>
  <c r="G58" i="6" s="1"/>
  <c r="B59" i="6" s="1"/>
  <c r="D59" i="6" l="1"/>
  <c r="F59" i="6"/>
  <c r="G59" i="6" l="1"/>
  <c r="B60" i="6" s="1"/>
  <c r="F60" i="6" l="1"/>
  <c r="F61" i="6" s="1"/>
  <c r="D60" i="6"/>
  <c r="G6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<sst xmlns="http://schemas.openxmlformats.org/spreadsheetml/2006/main" count="630" uniqueCount="316">
  <si>
    <t>Descrição</t>
  </si>
  <si>
    <t>Tipo</t>
  </si>
  <si>
    <t>Total</t>
  </si>
  <si>
    <t>Agua</t>
  </si>
  <si>
    <t>Aluguel</t>
  </si>
  <si>
    <t>Internet</t>
  </si>
  <si>
    <t>Faculdade</t>
  </si>
  <si>
    <t>PERCENTUAL IDEAL</t>
  </si>
  <si>
    <t>Patrimônio atual</t>
  </si>
  <si>
    <t>Ações</t>
  </si>
  <si>
    <t>BDRs</t>
  </si>
  <si>
    <t>ETFs</t>
  </si>
  <si>
    <t>FIIs</t>
  </si>
  <si>
    <t>Renda Fixa</t>
  </si>
  <si>
    <t>Criptomoedas</t>
  </si>
  <si>
    <t>Quanto vou aportar</t>
  </si>
  <si>
    <t>Percentual Atual</t>
  </si>
  <si>
    <t>Percentual Ideal</t>
  </si>
  <si>
    <t>Quanto Coloco</t>
  </si>
  <si>
    <t>Setores</t>
  </si>
  <si>
    <t>Valor</t>
  </si>
  <si>
    <t>Dias</t>
  </si>
  <si>
    <t>Aporte /Mês</t>
  </si>
  <si>
    <t>Total Investido</t>
  </si>
  <si>
    <t>Taxa % Dia</t>
  </si>
  <si>
    <t>Rend - Tx x Total Inv</t>
  </si>
  <si>
    <t>Valor Investido</t>
  </si>
  <si>
    <t>TOTAL EM 2025</t>
  </si>
  <si>
    <t>Rendimento/dia</t>
  </si>
  <si>
    <t>DESCRIÇÃO</t>
  </si>
  <si>
    <t>VALOR DA PARCELA</t>
  </si>
  <si>
    <t>1° PARCELA</t>
  </si>
  <si>
    <t>TOTAL DE PARC</t>
  </si>
  <si>
    <t>PARC PAGAS</t>
  </si>
  <si>
    <t>PARC RESTANTE</t>
  </si>
  <si>
    <t>PRÓX VENC</t>
  </si>
  <si>
    <t>ULT VENC</t>
  </si>
  <si>
    <t>ATRASO</t>
  </si>
  <si>
    <t>VALOR TOTAL</t>
  </si>
  <si>
    <t>A PAGAR</t>
  </si>
  <si>
    <t>SITUAÇÃO</t>
  </si>
  <si>
    <t>TIPO</t>
  </si>
  <si>
    <t>MÊS</t>
  </si>
  <si>
    <t>Necessidade</t>
  </si>
  <si>
    <t>Alimentação</t>
  </si>
  <si>
    <t>AluguelEscritorio</t>
  </si>
  <si>
    <t>AparelhoMedico</t>
  </si>
  <si>
    <t>AssistenciaFamiliar</t>
  </si>
  <si>
    <t>BebeCuidados</t>
  </si>
  <si>
    <t>Combustível</t>
  </si>
  <si>
    <t>Condomínio</t>
  </si>
  <si>
    <t>ConsultaMedica</t>
  </si>
  <si>
    <t>ConsultaOdonto</t>
  </si>
  <si>
    <t>ConsultaPsic</t>
  </si>
  <si>
    <t>CuidadorIdoso</t>
  </si>
  <si>
    <t>DietaMedica</t>
  </si>
  <si>
    <t>DocumentacaoLegal</t>
  </si>
  <si>
    <t>Energia</t>
  </si>
  <si>
    <t>ExameImagem</t>
  </si>
  <si>
    <t>ExameLaboratorial</t>
  </si>
  <si>
    <t>Gás</t>
  </si>
  <si>
    <t>Habilitação</t>
  </si>
  <si>
    <t>HigienePessoal</t>
  </si>
  <si>
    <t>IPTU</t>
  </si>
  <si>
    <t>IPVA</t>
  </si>
  <si>
    <t>InternetTrabalho</t>
  </si>
  <si>
    <t>Limpeza</t>
  </si>
  <si>
    <t>MaterialEscolar</t>
  </si>
  <si>
    <t>MaterialEscritorio</t>
  </si>
  <si>
    <t>ManutCarro</t>
  </si>
  <si>
    <t>ManutEquipEss</t>
  </si>
  <si>
    <t>ManutEquipMed</t>
  </si>
  <si>
    <t>ManutImovel</t>
  </si>
  <si>
    <t>MensalidadeEscola</t>
  </si>
  <si>
    <t>Mercado</t>
  </si>
  <si>
    <t>MultaObrigatoria</t>
  </si>
  <si>
    <t>PlanoOdonto</t>
  </si>
  <si>
    <t>PlanoSaude</t>
  </si>
  <si>
    <t>PlanoSaudeAnimal</t>
  </si>
  <si>
    <t>Racao</t>
  </si>
  <si>
    <t>RemedioContinuo</t>
  </si>
  <si>
    <t>RoupasEmerg</t>
  </si>
  <si>
    <t>SeguroCarro</t>
  </si>
  <si>
    <t>SeguroEquip</t>
  </si>
  <si>
    <t>SeguroResidencial</t>
  </si>
  <si>
    <t>SeguroVida</t>
  </si>
  <si>
    <t>ServicosCorreio</t>
  </si>
  <si>
    <t>ServicosFunerarios</t>
  </si>
  <si>
    <t>Seguranca</t>
  </si>
  <si>
    <t>Telefone</t>
  </si>
  <si>
    <t>TelefoneTrabalho</t>
  </si>
  <si>
    <t>TranspEscolar</t>
  </si>
  <si>
    <t>TranspTrabalho</t>
  </si>
  <si>
    <t>Transporte</t>
  </si>
  <si>
    <t>UberEssencial</t>
  </si>
  <si>
    <t>UniformeTrabalho</t>
  </si>
  <si>
    <t>Vacina</t>
  </si>
  <si>
    <t>VacinaAnimal</t>
  </si>
  <si>
    <t>TratamentoMedico</t>
  </si>
  <si>
    <t>TratamentoMental</t>
  </si>
  <si>
    <t>TratamentoAnimal</t>
  </si>
  <si>
    <t>AssinaturaStreaming</t>
  </si>
  <si>
    <t>Cinema</t>
  </si>
  <si>
    <t>Shows</t>
  </si>
  <si>
    <t>Passeios</t>
  </si>
  <si>
    <t>Restaurantes</t>
  </si>
  <si>
    <t>Bares</t>
  </si>
  <si>
    <t>ViagemFerias</t>
  </si>
  <si>
    <t>RoupasExtras</t>
  </si>
  <si>
    <t>Acessorios</t>
  </si>
  <si>
    <t>Eletronicos</t>
  </si>
  <si>
    <t>Gadgets</t>
  </si>
  <si>
    <t>Hobbies</t>
  </si>
  <si>
    <t>Academia</t>
  </si>
  <si>
    <t>InstrumentosMusicais</t>
  </si>
  <si>
    <t>CursosHobby</t>
  </si>
  <si>
    <t>Decoracao</t>
  </si>
  <si>
    <t>ItensCasaNaoEssenciais</t>
  </si>
  <si>
    <t>Presentes</t>
  </si>
  <si>
    <t>Festas</t>
  </si>
  <si>
    <t>LazerCrianca</t>
  </si>
  <si>
    <t>LazerAdolescente</t>
  </si>
  <si>
    <t>LazerAdulto</t>
  </si>
  <si>
    <t>LazerIdoso</t>
  </si>
  <si>
    <t>ProdutosEsteticos</t>
  </si>
  <si>
    <t>Cosmeticos</t>
  </si>
  <si>
    <t>Massagem</t>
  </si>
  <si>
    <t>Spa</t>
  </si>
  <si>
    <t>Cabelereiro</t>
  </si>
  <si>
    <t>Barbearia</t>
  </si>
  <si>
    <t>EquipamentosEsporte</t>
  </si>
  <si>
    <t>AcessoriosCarro</t>
  </si>
  <si>
    <t>CarroExtra</t>
  </si>
  <si>
    <t>JogoVideoGame</t>
  </si>
  <si>
    <t>AplicativosNaoEssenciais</t>
  </si>
  <si>
    <t>LivrosLazer</t>
  </si>
  <si>
    <t>Revistas</t>
  </si>
  <si>
    <t>AssinaturaClubes</t>
  </si>
  <si>
    <t>Desejos</t>
  </si>
  <si>
    <t>CursoIngles</t>
  </si>
  <si>
    <t>CursoEspanhol</t>
  </si>
  <si>
    <t>CursoFrances</t>
  </si>
  <si>
    <t>CursoItaliano</t>
  </si>
  <si>
    <t>Curso</t>
  </si>
  <si>
    <t>CursoProfissionalizante</t>
  </si>
  <si>
    <t>ExamesPreventivos</t>
  </si>
  <si>
    <t>Fisioterapia</t>
  </si>
  <si>
    <t>TerapiaEssencial</t>
  </si>
  <si>
    <t>ManutBicicleta</t>
  </si>
  <si>
    <t>ManutPredial</t>
  </si>
  <si>
    <t>MaterialDidatico</t>
  </si>
  <si>
    <t>MensalidadeUniversitaria</t>
  </si>
  <si>
    <t>MedicamentoEmerg</t>
  </si>
  <si>
    <t>SeguroSaudeAnimal</t>
  </si>
  <si>
    <t>TaxaRenovacaoDocumentos</t>
  </si>
  <si>
    <t>TransporteEmergencial</t>
  </si>
  <si>
    <t>AlimentacaoEmerg</t>
  </si>
  <si>
    <t>EnergiaExtra</t>
  </si>
  <si>
    <t>ProdutosBebeExtra</t>
  </si>
  <si>
    <t>CuidadosCrianca</t>
  </si>
  <si>
    <t>CuidadosIdoso</t>
  </si>
  <si>
    <t>RoupasCrianca</t>
  </si>
  <si>
    <t>RoupasAdulto</t>
  </si>
  <si>
    <t>RoupasIdoso</t>
  </si>
  <si>
    <t>ProdutosHigieneExtra</t>
  </si>
  <si>
    <t>LimpezaExtra</t>
  </si>
  <si>
    <t>ManutEquipEmerg</t>
  </si>
  <si>
    <t>CombustivelExtra</t>
  </si>
  <si>
    <t>MaterialEscolaExtra</t>
  </si>
  <si>
    <t>MaterialEscritorioExtra</t>
  </si>
  <si>
    <t>MedicamentoEspecial</t>
  </si>
  <si>
    <t>PlanoSaudeEspecial</t>
  </si>
  <si>
    <t>ConsultaEspecialista</t>
  </si>
  <si>
    <t>ExameEspecial</t>
  </si>
  <si>
    <t>VacinaEmerg</t>
  </si>
  <si>
    <t>TransporteEspecial</t>
  </si>
  <si>
    <t>ServicosEmergenciais</t>
  </si>
  <si>
    <t>AluguelTemporario</t>
  </si>
  <si>
    <t>EnergiaTemporaria</t>
  </si>
  <si>
    <t>InternetTemporaria</t>
  </si>
  <si>
    <t>TelefoneTemporario</t>
  </si>
  <si>
    <t>FaculdadeExtra</t>
  </si>
  <si>
    <t>CursoExtra</t>
  </si>
  <si>
    <t>CursoIdiomasExtra</t>
  </si>
  <si>
    <t>CursoTecnico</t>
  </si>
  <si>
    <t>CursoOnline</t>
  </si>
  <si>
    <t>MateriaisDidaticos</t>
  </si>
  <si>
    <t>LivrosEscolares</t>
  </si>
  <si>
    <t>UniformeEscolar</t>
  </si>
  <si>
    <t>Creche</t>
  </si>
  <si>
    <t>MensalidadeCreche</t>
  </si>
  <si>
    <t>TransporteCrianca</t>
  </si>
  <si>
    <t>TransporteIdoso</t>
  </si>
  <si>
    <t>ManutPredialEmerg</t>
  </si>
  <si>
    <t>SeguroEmergencial</t>
  </si>
  <si>
    <t>ServicosAssistencia</t>
  </si>
  <si>
    <t>AlimentacaoSaude</t>
  </si>
  <si>
    <t>CombustivelSaude</t>
  </si>
  <si>
    <t>ProdutosHigieneSaude</t>
  </si>
  <si>
    <t>MedicamentoSaude</t>
  </si>
  <si>
    <t>MaterialEducacao</t>
  </si>
  <si>
    <t>RoupasEscola</t>
  </si>
  <si>
    <t>AluguelEstagio</t>
  </si>
  <si>
    <t>EnergiaEscritorioExtra</t>
  </si>
  <si>
    <t>InternetEscritorioExtra</t>
  </si>
  <si>
    <t>TelefoneEscritorioExtra</t>
  </si>
  <si>
    <t>ManutEquipEscritorio</t>
  </si>
  <si>
    <t>SeguroViagemObrigatorio</t>
  </si>
  <si>
    <t>TaxasMunicipais</t>
  </si>
  <si>
    <t>TaxasFederais</t>
  </si>
  <si>
    <t>DocumentosObrigatorios</t>
  </si>
  <si>
    <t>ConsultoriaLegal</t>
  </si>
  <si>
    <t>ServicosJurídicos</t>
  </si>
  <si>
    <t>AssistenciaFamiliarExtra</t>
  </si>
  <si>
    <t>MaterialBebe</t>
  </si>
  <si>
    <t>BrinquedosEducativos</t>
  </si>
  <si>
    <t>MedicamentoCrianca</t>
  </si>
  <si>
    <t>MedicamentoIdoso</t>
  </si>
  <si>
    <t>VacinaCrianca</t>
  </si>
  <si>
    <t>VacinaIdoso</t>
  </si>
  <si>
    <t>RacaoExtra</t>
  </si>
  <si>
    <t>TratamentoCrianca</t>
  </si>
  <si>
    <t>TratamentoIdoso</t>
  </si>
  <si>
    <t>TransporteTrabalhoExtra</t>
  </si>
  <si>
    <t>TransporteEstudo</t>
  </si>
  <si>
    <t>TransporteEmergSaude</t>
  </si>
  <si>
    <t>UniformeTrabalhoExtra</t>
  </si>
  <si>
    <t>CartaoDeCredito</t>
  </si>
  <si>
    <t>Método Sugerido</t>
  </si>
  <si>
    <t>80/15/5</t>
  </si>
  <si>
    <t>Categoria</t>
  </si>
  <si>
    <t>Valor Sugerido</t>
  </si>
  <si>
    <t>Investimento</t>
  </si>
  <si>
    <t>Conta</t>
  </si>
  <si>
    <t>Valor da Parcela</t>
  </si>
  <si>
    <t>Próx Vencimento</t>
  </si>
  <si>
    <t>Prioridade</t>
  </si>
  <si>
    <t>Alta</t>
  </si>
  <si>
    <t>Netflix</t>
  </si>
  <si>
    <t>AmazonPrimeVideo</t>
  </si>
  <si>
    <t>Disney+</t>
  </si>
  <si>
    <t>Premiere</t>
  </si>
  <si>
    <t>AssinaturaTV</t>
  </si>
  <si>
    <t>HBO</t>
  </si>
  <si>
    <t>RecordPlus</t>
  </si>
  <si>
    <t>GloboPlay</t>
  </si>
  <si>
    <t>YoutubePremium</t>
  </si>
  <si>
    <t>AppleTV</t>
  </si>
  <si>
    <t>Telecine</t>
  </si>
  <si>
    <t>StarPlus</t>
  </si>
  <si>
    <t>Baixa</t>
  </si>
  <si>
    <t>Média</t>
  </si>
  <si>
    <t>Resumo por Prioridade</t>
  </si>
  <si>
    <t>Local</t>
  </si>
  <si>
    <t>Estrutura</t>
  </si>
  <si>
    <t>Segurança</t>
  </si>
  <si>
    <t>Buffet</t>
  </si>
  <si>
    <t>Bebidas</t>
  </si>
  <si>
    <t>Bolo</t>
  </si>
  <si>
    <t>Doces</t>
  </si>
  <si>
    <t>Bar</t>
  </si>
  <si>
    <t>Vestido</t>
  </si>
  <si>
    <t>Acessórios</t>
  </si>
  <si>
    <t>Maquiagem</t>
  </si>
  <si>
    <t>Cabelo</t>
  </si>
  <si>
    <t>Terno</t>
  </si>
  <si>
    <t>Sapato</t>
  </si>
  <si>
    <t>Padrinhos</t>
  </si>
  <si>
    <t>Daminhas</t>
  </si>
  <si>
    <t>Ensaios</t>
  </si>
  <si>
    <t>Fotógrafo</t>
  </si>
  <si>
    <t>Videomaker</t>
  </si>
  <si>
    <t>Álbum</t>
  </si>
  <si>
    <t>Música</t>
  </si>
  <si>
    <t>DJ</t>
  </si>
  <si>
    <t>Atrações</t>
  </si>
  <si>
    <t>Convites</t>
  </si>
  <si>
    <t>SaveDate</t>
  </si>
  <si>
    <t>RSVP</t>
  </si>
  <si>
    <t>Menu</t>
  </si>
  <si>
    <t>Placas</t>
  </si>
  <si>
    <t>Flores</t>
  </si>
  <si>
    <t>Decoração</t>
  </si>
  <si>
    <t>Velas</t>
  </si>
  <si>
    <t>Iluminação</t>
  </si>
  <si>
    <t>TransporteNoivos</t>
  </si>
  <si>
    <t>TransporteConvidados</t>
  </si>
  <si>
    <t>Alianças</t>
  </si>
  <si>
    <t>Cerimonial</t>
  </si>
  <si>
    <t>Planejamento</t>
  </si>
  <si>
    <t>Taxas</t>
  </si>
  <si>
    <t>LuaMel</t>
  </si>
  <si>
    <t>Seguro</t>
  </si>
  <si>
    <t>KitEmergência</t>
  </si>
  <si>
    <t>Brindes</t>
  </si>
  <si>
    <t>AlimentaçãoEquipe</t>
  </si>
  <si>
    <t>ExtrasDiversos</t>
  </si>
  <si>
    <t>Res.Emerg</t>
  </si>
  <si>
    <t>Darf PIS</t>
  </si>
  <si>
    <t>Darf  CONFINS</t>
  </si>
  <si>
    <t>Darf INSS</t>
  </si>
  <si>
    <t>Darf Prefeitura</t>
  </si>
  <si>
    <t>Darf IRPJ</t>
  </si>
  <si>
    <t>Darf CSLL</t>
  </si>
  <si>
    <t>CartaoDeCredito Nubank</t>
  </si>
  <si>
    <t>CartaoDeCredito Bradesco</t>
  </si>
  <si>
    <t>CartaoDeCredito MG</t>
  </si>
  <si>
    <t>Representação</t>
  </si>
  <si>
    <t>EmprestimoBradesco</t>
  </si>
  <si>
    <t>AcordoItau</t>
  </si>
  <si>
    <t>FinanciamentoCaixa</t>
  </si>
  <si>
    <t>CartaoAtacadao</t>
  </si>
  <si>
    <t>CartaoLuiza</t>
  </si>
  <si>
    <t>AcordoCarrefour</t>
  </si>
  <si>
    <t>AcordoMercadoPago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</si>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</sst>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[$R$ -416]#,##0.00"/>
    <numFmt numFmtId="166" formatCode="0.0%"/>
    <numFmt numFmtId="167" formatCode="0.0000"/>
    <numFmt numFmtId="168" formatCode="\R&quot;R$&quot;\ #,##0.00"/>
  </numFmts>
  <fonts count="2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72 Light"/>
      <family val="2"/>
    </font>
    <font>
      <sz val="11"/>
      <color theme="0"/>
      <name val="72 Black"/>
      <family val="2"/>
    </font>
    <font>
      <b/>
      <sz val="12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name val="Arial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color theme="1"/>
      <name val="Aptos Narrow"/>
      <family val="2"/>
      <scheme val="minor"/>
    </font>
    <font>
      <sz val="11"/>
      <color theme="1"/>
      <name val="72 Black"/>
      <family val="2"/>
    </font>
    <font>
      <sz val="12"/>
      <color theme="0"/>
      <name val="Aptos Narrow"/>
      <family val="2"/>
      <scheme val="minor"/>
    </font>
    <font>
      <sz val="12"/>
      <color theme="1"/>
      <name val="Tw Cen MT"/>
      <family val="2"/>
    </font>
    <font>
      <sz val="11"/>
      <color rgb="FFFF0000"/>
      <name val="Aptos Narrow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8F4D6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E6CC"/>
        <bgColor indexed="64"/>
      </patternFill>
    </fill>
    <fill>
      <patternFill patternType="solid">
        <fgColor rgb="FFEBDCFB"/>
        <bgColor indexed="64"/>
      </patternFill>
    </fill>
    <fill>
      <patternFill patternType="solid">
        <fgColor rgb="FFD0E4F2"/>
        <bgColor indexed="64"/>
      </patternFill>
    </fill>
    <fill>
      <patternFill patternType="solid">
        <fgColor rgb="FFD6F4F4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DE1E1"/>
        <bgColor indexed="64"/>
      </patternFill>
    </fill>
    <fill>
      <patternFill patternType="solid">
        <fgColor rgb="FFFFED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rgb="FFFCE5CD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/>
  </cellStyleXfs>
  <cellXfs count="155">
    <xf numFmtId="0" fontId="0" fillId="0" borderId="0" xfId="0"/>
    <xf numFmtId="164" fontId="0" fillId="0" borderId="0" xfId="0" applyNumberFormat="1"/>
    <xf numFmtId="0" fontId="0" fillId="0" borderId="0" xfId="0" applyNumberFormat="1"/>
    <xf numFmtId="14" fontId="0" fillId="0" borderId="0" xfId="0" applyNumberFormat="1"/>
    <xf numFmtId="0" fontId="10" fillId="0" borderId="0" xfId="4"/>
    <xf numFmtId="0" fontId="9" fillId="0" borderId="0" xfId="3" applyAlignment="1"/>
    <xf numFmtId="165" fontId="13" fillId="0" borderId="6" xfId="4" applyNumberFormat="1" applyFont="1" applyBorder="1" applyAlignment="1">
      <alignment horizontal="center"/>
    </xf>
    <xf numFmtId="0" fontId="13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12" fillId="0" borderId="6" xfId="4" applyFont="1" applyBorder="1" applyAlignment="1">
      <alignment horizontal="center"/>
    </xf>
    <xf numFmtId="0" fontId="8" fillId="0" borderId="0" xfId="0" applyFont="1"/>
    <xf numFmtId="166" fontId="13" fillId="0" borderId="6" xfId="4" applyNumberFormat="1" applyFont="1" applyBorder="1" applyAlignment="1">
      <alignment horizontal="center"/>
    </xf>
    <xf numFmtId="167" fontId="2" fillId="0" borderId="0" xfId="0" applyNumberFormat="1" applyFont="1"/>
    <xf numFmtId="165" fontId="17" fillId="0" borderId="0" xfId="4" applyNumberFormat="1" applyFont="1" applyAlignment="1">
      <alignment horizontal="center"/>
    </xf>
    <xf numFmtId="0" fontId="0" fillId="0" borderId="9" xfId="0" applyBorder="1" applyAlignment="1">
      <alignment horizontal="center"/>
    </xf>
    <xf numFmtId="164" fontId="10" fillId="0" borderId="9" xfId="4" applyNumberFormat="1" applyBorder="1" applyAlignment="1">
      <alignment horizontal="center"/>
    </xf>
    <xf numFmtId="0" fontId="11" fillId="0" borderId="0" xfId="4" applyFont="1"/>
    <xf numFmtId="167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0" fillId="3" borderId="9" xfId="2" applyNumberFormat="1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7" fontId="0" fillId="3" borderId="9" xfId="0" applyNumberForma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164" fontId="0" fillId="4" borderId="9" xfId="2" applyNumberFormat="1" applyFon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7" fontId="0" fillId="4" borderId="9" xfId="0" applyNumberForma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164" fontId="0" fillId="5" borderId="9" xfId="2" applyNumberFormat="1" applyFon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67" fontId="0" fillId="5" borderId="9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164" fontId="0" fillId="6" borderId="9" xfId="2" applyNumberFormat="1" applyFon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7" fontId="0" fillId="6" borderId="9" xfId="0" applyNumberFormat="1" applyFill="1" applyBorder="1" applyAlignment="1">
      <alignment horizontal="center"/>
    </xf>
    <xf numFmtId="0" fontId="1" fillId="7" borderId="9" xfId="0" applyFont="1" applyFill="1" applyBorder="1" applyAlignment="1">
      <alignment horizontal="center"/>
    </xf>
    <xf numFmtId="164" fontId="0" fillId="7" borderId="9" xfId="2" applyNumberFormat="1" applyFont="1" applyFill="1" applyBorder="1" applyAlignment="1">
      <alignment horizontal="center"/>
    </xf>
    <xf numFmtId="164" fontId="0" fillId="7" borderId="9" xfId="0" applyNumberFormat="1" applyFill="1" applyBorder="1" applyAlignment="1">
      <alignment horizontal="center"/>
    </xf>
    <xf numFmtId="167" fontId="0" fillId="7" borderId="9" xfId="0" applyNumberForma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164" fontId="0" fillId="8" borderId="9" xfId="2" applyNumberFormat="1" applyFont="1" applyFill="1" applyBorder="1" applyAlignment="1">
      <alignment horizontal="center"/>
    </xf>
    <xf numFmtId="164" fontId="0" fillId="8" borderId="9" xfId="0" applyNumberFormat="1" applyFill="1" applyBorder="1" applyAlignment="1">
      <alignment horizontal="center"/>
    </xf>
    <xf numFmtId="167" fontId="0" fillId="8" borderId="9" xfId="0" applyNumberForma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164" fontId="0" fillId="9" borderId="9" xfId="2" applyNumberFormat="1" applyFont="1" applyFill="1" applyBorder="1" applyAlignment="1">
      <alignment horizontal="center"/>
    </xf>
    <xf numFmtId="164" fontId="0" fillId="9" borderId="9" xfId="0" applyNumberFormat="1" applyFill="1" applyBorder="1" applyAlignment="1">
      <alignment horizontal="center"/>
    </xf>
    <xf numFmtId="167" fontId="0" fillId="9" borderId="9" xfId="0" applyNumberForma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10" borderId="1" xfId="0" applyFont="1" applyFill="1" applyBorder="1" applyAlignment="1">
      <alignment horizontal="center"/>
    </xf>
    <xf numFmtId="164" fontId="0" fillId="10" borderId="9" xfId="2" applyNumberFormat="1" applyFont="1" applyFill="1" applyBorder="1" applyAlignment="1">
      <alignment horizontal="center"/>
    </xf>
    <xf numFmtId="164" fontId="0" fillId="10" borderId="9" xfId="0" applyNumberFormat="1" applyFill="1" applyBorder="1" applyAlignment="1">
      <alignment horizontal="center"/>
    </xf>
    <xf numFmtId="167" fontId="0" fillId="10" borderId="9" xfId="0" applyNumberForma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164" fontId="0" fillId="11" borderId="9" xfId="2" applyNumberFormat="1" applyFont="1" applyFill="1" applyBorder="1" applyAlignment="1">
      <alignment horizontal="center"/>
    </xf>
    <xf numFmtId="164" fontId="0" fillId="11" borderId="9" xfId="0" applyNumberFormat="1" applyFill="1" applyBorder="1" applyAlignment="1">
      <alignment horizontal="center"/>
    </xf>
    <xf numFmtId="167" fontId="0" fillId="11" borderId="9" xfId="0" applyNumberForma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164" fontId="0" fillId="2" borderId="9" xfId="2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7" fontId="0" fillId="2" borderId="9" xfId="0" applyNumberFormat="1" applyFill="1" applyBorder="1" applyAlignment="1">
      <alignment horizontal="center"/>
    </xf>
    <xf numFmtId="0" fontId="1" fillId="12" borderId="9" xfId="0" applyFont="1" applyFill="1" applyBorder="1" applyAlignment="1">
      <alignment horizontal="center"/>
    </xf>
    <xf numFmtId="164" fontId="0" fillId="12" borderId="9" xfId="2" applyNumberFormat="1" applyFont="1" applyFill="1" applyBorder="1" applyAlignment="1">
      <alignment horizontal="center"/>
    </xf>
    <xf numFmtId="164" fontId="0" fillId="12" borderId="9" xfId="0" applyNumberFormat="1" applyFill="1" applyBorder="1" applyAlignment="1">
      <alignment horizontal="center"/>
    </xf>
    <xf numFmtId="167" fontId="0" fillId="12" borderId="9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/>
    </xf>
    <xf numFmtId="164" fontId="0" fillId="13" borderId="9" xfId="2" applyNumberFormat="1" applyFont="1" applyFill="1" applyBorder="1" applyAlignment="1">
      <alignment horizontal="center"/>
    </xf>
    <xf numFmtId="164" fontId="0" fillId="13" borderId="9" xfId="0" applyNumberFormat="1" applyFill="1" applyBorder="1" applyAlignment="1">
      <alignment horizontal="center"/>
    </xf>
    <xf numFmtId="167" fontId="0" fillId="13" borderId="9" xfId="0" applyNumberFormat="1" applyFill="1" applyBorder="1" applyAlignment="1">
      <alignment horizontal="center"/>
    </xf>
    <xf numFmtId="0" fontId="0" fillId="14" borderId="9" xfId="0" applyFill="1" applyBorder="1"/>
    <xf numFmtId="164" fontId="0" fillId="14" borderId="9" xfId="0" applyNumberFormat="1" applyFill="1" applyBorder="1"/>
    <xf numFmtId="164" fontId="0" fillId="15" borderId="9" xfId="0" applyNumberFormat="1" applyFill="1" applyBorder="1" applyAlignment="1">
      <alignment horizontal="center"/>
    </xf>
    <xf numFmtId="164" fontId="0" fillId="16" borderId="9" xfId="0" applyNumberFormat="1" applyFill="1" applyBorder="1" applyAlignment="1">
      <alignment horizontal="center"/>
    </xf>
    <xf numFmtId="164" fontId="0" fillId="14" borderId="9" xfId="0" applyNumberFormat="1" applyFill="1" applyBorder="1" applyAlignment="1">
      <alignment horizontal="center"/>
    </xf>
    <xf numFmtId="0" fontId="1" fillId="17" borderId="9" xfId="0" applyFont="1" applyFill="1" applyBorder="1" applyAlignment="1">
      <alignment horizontal="center"/>
    </xf>
    <xf numFmtId="164" fontId="0" fillId="0" borderId="9" xfId="2" applyNumberFormat="1" applyFont="1" applyBorder="1"/>
    <xf numFmtId="164" fontId="0" fillId="0" borderId="9" xfId="2" applyNumberFormat="1" applyFont="1" applyBorder="1" applyAlignment="1">
      <alignment horizontal="center"/>
    </xf>
    <xf numFmtId="164" fontId="0" fillId="0" borderId="9" xfId="0" applyNumberFormat="1" applyBorder="1"/>
    <xf numFmtId="167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2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NumberFormat="1" applyFont="1" applyAlignment="1">
      <alignment horizontal="center" vertical="center"/>
    </xf>
    <xf numFmtId="0" fontId="18" fillId="18" borderId="0" xfId="0" applyFont="1" applyFill="1" applyAlignment="1">
      <alignment horizontal="center" vertical="center"/>
    </xf>
    <xf numFmtId="164" fontId="18" fillId="18" borderId="0" xfId="0" applyNumberFormat="1" applyFont="1" applyFill="1" applyAlignment="1">
      <alignment horizontal="center" vertical="center"/>
    </xf>
    <xf numFmtId="1" fontId="18" fillId="18" borderId="0" xfId="0" applyNumberFormat="1" applyFont="1" applyFill="1" applyAlignment="1">
      <alignment horizontal="center" vertical="center"/>
    </xf>
    <xf numFmtId="0" fontId="2" fillId="0" borderId="0" xfId="0" applyFont="1" applyFill="1" applyBorder="1"/>
    <xf numFmtId="164" fontId="4" fillId="0" borderId="0" xfId="0" applyNumberFormat="1" applyFont="1" applyFill="1" applyBorder="1"/>
    <xf numFmtId="164" fontId="2" fillId="0" borderId="0" xfId="0" applyNumberFormat="1" applyFont="1" applyFill="1" applyBorder="1"/>
    <xf numFmtId="0" fontId="2" fillId="0" borderId="0" xfId="0" applyNumberFormat="1" applyFont="1" applyFill="1" applyBorder="1"/>
    <xf numFmtId="14" fontId="2" fillId="0" borderId="0" xfId="0" applyNumberFormat="1" applyFont="1" applyFill="1" applyBorder="1"/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8" fontId="19" fillId="0" borderId="0" xfId="0" applyNumberFormat="1" applyFont="1" applyFill="1" applyBorder="1"/>
    <xf numFmtId="164" fontId="18" fillId="0" borderId="0" xfId="0" applyNumberFormat="1" applyFont="1" applyAlignment="1">
      <alignment horizontal="center" vertical="center"/>
    </xf>
    <xf numFmtId="168" fontId="0" fillId="0" borderId="0" xfId="0" applyNumberFormat="1"/>
    <xf numFmtId="165" fontId="13" fillId="0" borderId="6" xfId="4" applyNumberFormat="1" applyFont="1" applyBorder="1" applyAlignment="1" applyProtection="1">
      <alignment horizontal="center"/>
      <protection locked="0"/>
    </xf>
    <xf numFmtId="0" fontId="0" fillId="19" borderId="0" xfId="0" applyFill="1"/>
    <xf numFmtId="0" fontId="6" fillId="20" borderId="6" xfId="4" applyFont="1" applyFill="1" applyBorder="1" applyAlignment="1">
      <alignment horizontal="center"/>
    </xf>
    <xf numFmtId="0" fontId="6" fillId="20" borderId="8" xfId="4" applyFont="1" applyFill="1" applyBorder="1" applyAlignment="1">
      <alignment horizontal="center"/>
    </xf>
    <xf numFmtId="0" fontId="21" fillId="21" borderId="5" xfId="4" applyFont="1" applyFill="1" applyBorder="1" applyAlignment="1">
      <alignment horizontal="center"/>
    </xf>
    <xf numFmtId="0" fontId="21" fillId="21" borderId="6" xfId="4" applyFont="1" applyFill="1" applyBorder="1" applyAlignment="1">
      <alignment horizontal="center"/>
    </xf>
    <xf numFmtId="0" fontId="21" fillId="21" borderId="8" xfId="4" applyFont="1" applyFill="1" applyBorder="1" applyAlignment="1">
      <alignment horizontal="center"/>
    </xf>
    <xf numFmtId="0" fontId="21" fillId="21" borderId="9" xfId="0" applyFont="1" applyFill="1" applyBorder="1" applyAlignment="1">
      <alignment horizontal="center" wrapText="1"/>
    </xf>
    <xf numFmtId="0" fontId="21" fillId="21" borderId="10" xfId="4" applyFont="1" applyFill="1" applyBorder="1" applyAlignment="1">
      <alignment horizontal="center"/>
    </xf>
    <xf numFmtId="0" fontId="21" fillId="21" borderId="7" xfId="4" applyFont="1" applyFill="1" applyBorder="1" applyAlignment="1">
      <alignment horizontal="center"/>
    </xf>
    <xf numFmtId="0" fontId="14" fillId="2" borderId="5" xfId="4" applyFont="1" applyFill="1" applyBorder="1" applyAlignment="1" applyProtection="1">
      <alignment horizontal="center"/>
      <protection locked="0"/>
    </xf>
    <xf numFmtId="0" fontId="14" fillId="2" borderId="6" xfId="4" applyFont="1" applyFill="1" applyBorder="1" applyAlignment="1" applyProtection="1">
      <alignment horizontal="center"/>
      <protection locked="0"/>
    </xf>
    <xf numFmtId="0" fontId="14" fillId="2" borderId="8" xfId="4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 wrapText="1"/>
      <protection locked="0"/>
    </xf>
    <xf numFmtId="0" fontId="15" fillId="2" borderId="10" xfId="4" applyFont="1" applyFill="1" applyBorder="1" applyAlignment="1" applyProtection="1">
      <alignment horizontal="center"/>
      <protection locked="0"/>
    </xf>
    <xf numFmtId="0" fontId="15" fillId="2" borderId="7" xfId="4" applyFont="1" applyFill="1" applyBorder="1" applyAlignment="1" applyProtection="1">
      <alignment horizontal="center"/>
      <protection locked="0"/>
    </xf>
    <xf numFmtId="0" fontId="15" fillId="2" borderId="6" xfId="4" applyFont="1" applyFill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 wrapText="1"/>
      <protection locked="0"/>
    </xf>
    <xf numFmtId="0" fontId="15" fillId="2" borderId="11" xfId="4" applyFont="1" applyFill="1" applyBorder="1" applyAlignment="1" applyProtection="1">
      <alignment horizontal="center"/>
      <protection locked="0"/>
    </xf>
    <xf numFmtId="0" fontId="14" fillId="2" borderId="12" xfId="4" applyFont="1" applyFill="1" applyBorder="1" applyAlignment="1" applyProtection="1">
      <alignment horizontal="center"/>
      <protection locked="0"/>
    </xf>
    <xf numFmtId="0" fontId="14" fillId="2" borderId="13" xfId="4" applyFont="1" applyFill="1" applyBorder="1" applyAlignment="1" applyProtection="1">
      <alignment horizontal="center"/>
      <protection locked="0"/>
    </xf>
    <xf numFmtId="0" fontId="15" fillId="2" borderId="13" xfId="4" applyFont="1" applyFill="1" applyBorder="1" applyAlignment="1" applyProtection="1">
      <alignment horizontal="center"/>
      <protection locked="0"/>
    </xf>
    <xf numFmtId="0" fontId="15" fillId="2" borderId="14" xfId="4" applyFont="1" applyFill="1" applyBorder="1" applyAlignment="1" applyProtection="1">
      <alignment horizontal="center"/>
      <protection locked="0"/>
    </xf>
    <xf numFmtId="10" fontId="20" fillId="23" borderId="5" xfId="1" applyNumberFormat="1" applyFont="1" applyFill="1" applyBorder="1" applyAlignment="1" applyProtection="1">
      <alignment horizontal="center"/>
      <protection locked="0"/>
    </xf>
    <xf numFmtId="0" fontId="0" fillId="24" borderId="0" xfId="0" applyFill="1"/>
    <xf numFmtId="0" fontId="0" fillId="24" borderId="0" xfId="0" applyNumberFormat="1" applyFill="1"/>
    <xf numFmtId="14" fontId="0" fillId="24" borderId="0" xfId="0" applyNumberFormat="1" applyFill="1"/>
    <xf numFmtId="164" fontId="0" fillId="24" borderId="0" xfId="0" applyNumberFormat="1" applyFill="1"/>
    <xf numFmtId="0" fontId="2" fillId="24" borderId="0" xfId="0" applyFont="1" applyFill="1" applyBorder="1"/>
    <xf numFmtId="0" fontId="0" fillId="24" borderId="0" xfId="0" applyFill="1" applyAlignment="1">
      <alignment horizontal="center" vertical="center"/>
    </xf>
    <xf numFmtId="0" fontId="0" fillId="24" borderId="0" xfId="0" applyNumberFormat="1" applyFill="1" applyAlignment="1">
      <alignment horizontal="center" vertical="center"/>
    </xf>
    <xf numFmtId="14" fontId="0" fillId="24" borderId="0" xfId="0" applyNumberFormat="1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0" borderId="0" xfId="0" applyFont="1"/>
    <xf numFmtId="0" fontId="15" fillId="0" borderId="0" xfId="4" applyFont="1"/>
    <xf numFmtId="0" fontId="21" fillId="21" borderId="16" xfId="4" applyFont="1" applyFill="1" applyBorder="1" applyAlignment="1">
      <alignment horizontal="center"/>
    </xf>
    <xf numFmtId="0" fontId="15" fillId="2" borderId="16" xfId="4" applyFont="1" applyFill="1" applyBorder="1" applyAlignment="1" applyProtection="1">
      <alignment horizontal="center"/>
      <protection locked="0"/>
    </xf>
    <xf numFmtId="0" fontId="15" fillId="2" borderId="8" xfId="4" applyFont="1" applyFill="1" applyBorder="1" applyAlignment="1" applyProtection="1">
      <alignment horizontal="center"/>
      <protection locked="0"/>
    </xf>
    <xf numFmtId="0" fontId="15" fillId="2" borderId="17" xfId="4" applyFont="1" applyFill="1" applyBorder="1" applyAlignment="1" applyProtection="1">
      <alignment horizontal="center"/>
      <protection locked="0"/>
    </xf>
    <xf numFmtId="0" fontId="6" fillId="20" borderId="18" xfId="4" applyFont="1" applyFill="1" applyBorder="1" applyAlignment="1">
      <alignment horizontal="center"/>
    </xf>
    <xf numFmtId="166" fontId="13" fillId="0" borderId="6" xfId="4" applyNumberFormat="1" applyFont="1" applyBorder="1" applyAlignment="1" applyProtection="1">
      <alignment horizontal="center"/>
      <protection locked="0"/>
    </xf>
    <xf numFmtId="14" fontId="18" fillId="0" borderId="0" xfId="0" applyNumberFormat="1" applyFont="1" applyAlignment="1">
      <alignment horizontal="center" vertical="center"/>
    </xf>
    <xf numFmtId="14" fontId="18" fillId="18" borderId="0" xfId="0" applyNumberFormat="1" applyFont="1" applyFill="1" applyAlignment="1">
      <alignment horizontal="center" vertical="center"/>
    </xf>
    <xf numFmtId="0" fontId="6" fillId="22" borderId="2" xfId="4" applyFont="1" applyFill="1" applyBorder="1" applyAlignment="1">
      <alignment horizontal="center" vertical="center"/>
    </xf>
    <xf numFmtId="0" fontId="22" fillId="22" borderId="3" xfId="4" applyFont="1" applyFill="1" applyBorder="1" applyAlignment="1">
      <alignment vertical="center"/>
    </xf>
    <xf numFmtId="0" fontId="22" fillId="22" borderId="15" xfId="4" applyFont="1" applyFill="1" applyBorder="1" applyAlignment="1">
      <alignment vertical="center"/>
    </xf>
    <xf numFmtId="0" fontId="22" fillId="22" borderId="4" xfId="4" applyFont="1" applyFill="1" applyBorder="1" applyAlignment="1">
      <alignment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Hiperlink" xfId="3" builtinId="8"/>
    <cellStyle name="Moeda" xfId="2" builtinId="4"/>
    <cellStyle name="Normal" xfId="0" builtinId="0"/>
    <cellStyle name="Normal 2" xfId="4" xr:uid="{6720C993-0FC4-4088-B486-BBE096D7C16A}"/>
    <cellStyle name="Porcentagem" xfId="1" builtinId="5"/>
  </cellStyles>
  <dxfs count="32">
    <dxf>
      <font>
        <b/>
        <i val="0"/>
      </font>
      <fill>
        <patternFill>
          <bgColor theme="9" tint="0.79998168889431442"/>
        </patternFill>
      </fill>
    </dxf>
    <dxf>
      <font>
        <b/>
        <i val="0"/>
        <color theme="9"/>
      </font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90EE90"/>
        </patternFill>
      </fill>
    </dxf>
    <dxf>
      <fill>
        <patternFill>
          <bgColor rgb="FFFFFF99"/>
        </patternFill>
      </fill>
    </dxf>
    <dxf>
      <fill>
        <patternFill>
          <bgColor rgb="FFFF6666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64" formatCode="&quot;R$&quot;\ #,##0.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64" formatCode="&quot;R$&quot;\ #,##0.0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9" formatCode="dd/mm/yyyy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9" formatCode="dd/mm/yyyy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w Cen MT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3" tint="0.74996185186315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Invisible" pivot="0" table="0" count="0" xr9:uid="{AD3AC304-4806-42BE-B25A-8F4807C849B1}"/>
    <tableStyle name="SlicerStyleLight1 2" pivot="0" table="0" count="10" xr9:uid="{264F4B1B-C9B7-4D94-8A6E-624D20AFC36C}">
      <tableStyleElement type="wholeTable" dxfId="31"/>
      <tableStyleElement type="headerRow" dxfId="30"/>
    </tableStyle>
    <tableStyle name="SlicerStyleLight1 3" pivot="0" table="0" count="10" xr9:uid="{AF0538F6-759F-4897-97BE-0CFC1B5EA0FB}">
      <tableStyleElement type="wholeTable" dxfId="29"/>
      <tableStyleElement type="headerRow" dxfId="28"/>
    </tableStyle>
  </tableStyles>
  <colors>
    <mruColors>
      <color rgb="FF7A8C74"/>
      <color rgb="FF9EEE9A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espesa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espes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!A1"/><Relationship Id="rId7" Type="http://schemas.openxmlformats.org/officeDocument/2006/relationships/hyperlink" Target="#bd!A1"/><Relationship Id="rId2" Type="http://schemas.openxmlformats.org/officeDocument/2006/relationships/image" Target="../media/image1.png"/><Relationship Id="rId1" Type="http://schemas.openxmlformats.org/officeDocument/2006/relationships/hyperlink" Target="#ResumoFinanceiro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Investimento!A1"/><Relationship Id="rId1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hyperlink" Target="#Despes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sumoFinanceiro!A1"/><Relationship Id="rId7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hyperlink" Target="#Despesas!A1"/><Relationship Id="rId6" Type="http://schemas.openxmlformats.org/officeDocument/2006/relationships/hyperlink" Target="https://www.investidor.b3.com.br/login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977084</xdr:colOff>
      <xdr:row>0</xdr:row>
      <xdr:rowOff>121196</xdr:rowOff>
    </xdr:from>
    <xdr:to>
      <xdr:col>4</xdr:col>
      <xdr:colOff>117146</xdr:colOff>
      <xdr:row>2</xdr:row>
      <xdr:rowOff>57615</xdr:rowOff>
    </xdr:to>
    <xdr:sp macro="[0]!cadastro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924662-FBED-3550-DDA2-9CA128F6D8B9}"/>
            </a:ext>
          </a:extLst>
        </xdr:cNvPr>
        <xdr:cNvSpPr txBox="1"/>
      </xdr:nvSpPr>
      <xdr:spPr>
        <a:xfrm>
          <a:off x="4284164" y="121196"/>
          <a:ext cx="1829922" cy="302179"/>
        </a:xfrm>
        <a:prstGeom prst="rect">
          <a:avLst/>
        </a:prstGeom>
        <a:solidFill>
          <a:schemeClr val="bg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Tw Cen MT" panose="020B0602020104020603" pitchFamily="34" charset="0"/>
            </a:rPr>
            <a:t>DESPESAS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121920</xdr:colOff>
      <xdr:row>0</xdr:row>
      <xdr:rowOff>91440</xdr:rowOff>
    </xdr:from>
    <xdr:to>
      <xdr:col>18</xdr:col>
      <xdr:colOff>495300</xdr:colOff>
      <xdr:row>2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EFE7A8-E8C2-44BF-AE0B-E756007F817E}"/>
            </a:ext>
          </a:extLst>
        </xdr:cNvPr>
        <xdr:cNvSpPr/>
      </xdr:nvSpPr>
      <xdr:spPr>
        <a:xfrm>
          <a:off x="11711940" y="91440"/>
          <a:ext cx="982980" cy="312420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DESPESA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0</xdr:row>
      <xdr:rowOff>231656</xdr:rowOff>
    </xdr:from>
    <xdr:to>
      <xdr:col>3</xdr:col>
      <xdr:colOff>990600</xdr:colOff>
      <xdr:row>1</xdr:row>
      <xdr:rowOff>257056</xdr:rowOff>
    </xdr:to>
    <xdr:grpSp>
      <xdr:nvGrpSpPr>
        <xdr:cNvPr id="11" name="Agrupar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CF06F-8339-8E27-3AD0-0CE45406B24E}"/>
            </a:ext>
          </a:extLst>
        </xdr:cNvPr>
        <xdr:cNvGrpSpPr/>
      </xdr:nvGrpSpPr>
      <xdr:grpSpPr>
        <a:xfrm>
          <a:off x="261620" y="231656"/>
          <a:ext cx="2321560" cy="452120"/>
          <a:chOff x="262467" y="231656"/>
          <a:chExt cx="2319866" cy="448733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02FC41B0-075A-B93D-7768-D39035BBE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2467" y="231656"/>
            <a:ext cx="448733" cy="44873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55C2D6E-87FF-884B-8D36-10A9494208FA}"/>
              </a:ext>
            </a:extLst>
          </xdr:cNvPr>
          <xdr:cNvSpPr txBox="1"/>
        </xdr:nvSpPr>
        <xdr:spPr>
          <a:xfrm>
            <a:off x="745065" y="295156"/>
            <a:ext cx="1837268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RESUMO FINANCEIRO</a:t>
            </a:r>
          </a:p>
        </xdr:txBody>
      </xdr:sp>
    </xdr:grpSp>
    <xdr:clientData/>
  </xdr:twoCellAnchor>
  <xdr:twoCellAnchor>
    <xdr:from>
      <xdr:col>4</xdr:col>
      <xdr:colOff>150001</xdr:colOff>
      <xdr:row>0</xdr:row>
      <xdr:rowOff>214068</xdr:rowOff>
    </xdr:from>
    <xdr:to>
      <xdr:col>6</xdr:col>
      <xdr:colOff>457201</xdr:colOff>
      <xdr:row>1</xdr:row>
      <xdr:rowOff>240735</xdr:rowOff>
    </xdr:to>
    <xdr:grpSp>
      <xdr:nvGrpSpPr>
        <xdr:cNvPr id="12" name="Agrupar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26D182-A2AF-C02A-3E6A-8FD289AE5157}"/>
            </a:ext>
          </a:extLst>
        </xdr:cNvPr>
        <xdr:cNvGrpSpPr/>
      </xdr:nvGrpSpPr>
      <xdr:grpSpPr>
        <a:xfrm>
          <a:off x="3045601" y="214068"/>
          <a:ext cx="2265540" cy="453387"/>
          <a:chOff x="3265734" y="222534"/>
          <a:chExt cx="2263000" cy="450000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4EAB38FE-BF4A-F3BC-FDBD-E1CF2E6FDB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65734" y="222534"/>
            <a:ext cx="450000" cy="450000"/>
          </a:xfrm>
          <a:prstGeom prst="rect">
            <a:avLst/>
          </a:prstGeom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3FD1811F-97D8-4DC0-A31D-12D5FFD8D4D4}"/>
              </a:ext>
            </a:extLst>
          </xdr:cNvPr>
          <xdr:cNvSpPr txBox="1"/>
        </xdr:nvSpPr>
        <xdr:spPr>
          <a:xfrm>
            <a:off x="3725332" y="295134"/>
            <a:ext cx="1803402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INVESTIMENTO</a:t>
            </a:r>
          </a:p>
        </xdr:txBody>
      </xdr:sp>
    </xdr:grpSp>
    <xdr:clientData/>
  </xdr:twoCellAnchor>
  <xdr:twoCellAnchor>
    <xdr:from>
      <xdr:col>6</xdr:col>
      <xdr:colOff>660401</xdr:colOff>
      <xdr:row>0</xdr:row>
      <xdr:rowOff>195415</xdr:rowOff>
    </xdr:from>
    <xdr:to>
      <xdr:col>8</xdr:col>
      <xdr:colOff>880532</xdr:colOff>
      <xdr:row>1</xdr:row>
      <xdr:rowOff>194733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76E931A-776E-9B51-A203-B5CD91E380E8}"/>
            </a:ext>
          </a:extLst>
        </xdr:cNvPr>
        <xdr:cNvGrpSpPr/>
      </xdr:nvGrpSpPr>
      <xdr:grpSpPr>
        <a:xfrm>
          <a:off x="5514341" y="195415"/>
          <a:ext cx="2247051" cy="426038"/>
          <a:chOff x="5926668" y="297016"/>
          <a:chExt cx="2252131" cy="450000"/>
        </a:xfrm>
      </xdr:grpSpPr>
      <xdr:pic macro="[0]!cadastro">
        <xdr:nvPicPr>
          <xdr:cNvPr id="3" name="Imagem 2">
            <a:extLst>
              <a:ext uri="{FF2B5EF4-FFF2-40B4-BE49-F238E27FC236}">
                <a16:creationId xmlns:a16="http://schemas.microsoft.com/office/drawing/2014/main" id="{F9DA41E4-27B1-6E9A-149E-C07D5A04B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26668" y="297016"/>
            <a:ext cx="450000" cy="450000"/>
          </a:xfrm>
          <a:prstGeom prst="rect">
            <a:avLst/>
          </a:prstGeom>
        </xdr:spPr>
      </xdr:pic>
      <xdr:sp macro="[0]!cadastro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9B965D14-DDF9-45C8-A535-D0E33B6AF6D4}"/>
              </a:ext>
            </a:extLst>
          </xdr:cNvPr>
          <xdr:cNvSpPr txBox="1"/>
        </xdr:nvSpPr>
        <xdr:spPr>
          <a:xfrm>
            <a:off x="6341531" y="361150"/>
            <a:ext cx="1837268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CADASTRO - CONTAS</a:t>
            </a:r>
          </a:p>
        </xdr:txBody>
      </xdr:sp>
    </xdr:grpSp>
    <xdr:clientData/>
  </xdr:twoCellAnchor>
  <xdr:twoCellAnchor>
    <xdr:from>
      <xdr:col>9</xdr:col>
      <xdr:colOff>568037</xdr:colOff>
      <xdr:row>0</xdr:row>
      <xdr:rowOff>159330</xdr:rowOff>
    </xdr:from>
    <xdr:to>
      <xdr:col>10</xdr:col>
      <xdr:colOff>1364673</xdr:colOff>
      <xdr:row>1</xdr:row>
      <xdr:rowOff>179839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9328E23-CCE4-8263-A8CC-75401D4AFF8F}"/>
            </a:ext>
          </a:extLst>
        </xdr:cNvPr>
        <xdr:cNvGrpSpPr/>
      </xdr:nvGrpSpPr>
      <xdr:grpSpPr>
        <a:xfrm>
          <a:off x="8348057" y="159330"/>
          <a:ext cx="1695796" cy="447229"/>
          <a:chOff x="8354292" y="159330"/>
          <a:chExt cx="1697181" cy="450000"/>
        </a:xfrm>
      </xdr:grpSpPr>
      <xdr:pic macro="[0]!UltLinha">
        <xdr:nvPicPr>
          <xdr:cNvPr id="4" name="Imagem 3">
            <a:extLst>
              <a:ext uri="{FF2B5EF4-FFF2-40B4-BE49-F238E27FC236}">
                <a16:creationId xmlns:a16="http://schemas.microsoft.com/office/drawing/2014/main" id="{6DEB32B0-2B6A-29FF-FDDA-92BB33C86F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54292" y="159330"/>
            <a:ext cx="450000" cy="450000"/>
          </a:xfrm>
          <a:prstGeom prst="rect">
            <a:avLst/>
          </a:prstGeom>
        </xdr:spPr>
      </xdr:pic>
      <xdr:sp macro="[0]!UltLinha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8A1F0EB7-4B73-59D8-09CA-149D33C12F25}"/>
              </a:ext>
            </a:extLst>
          </xdr:cNvPr>
          <xdr:cNvSpPr txBox="1"/>
        </xdr:nvSpPr>
        <xdr:spPr>
          <a:xfrm>
            <a:off x="8880764" y="228466"/>
            <a:ext cx="1170709" cy="3117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Tw Cen MT" panose="020B0602020104020603" pitchFamily="34" charset="0"/>
              </a:rPr>
              <a:t>INSERIR</a:t>
            </a:r>
            <a:r>
              <a:rPr lang="pt-BR" sz="1200" baseline="0">
                <a:solidFill>
                  <a:schemeClr val="bg1"/>
                </a:solidFill>
                <a:latin typeface="Tw Cen MT" panose="020B0602020104020603" pitchFamily="34" charset="0"/>
              </a:rPr>
              <a:t> DADOS</a:t>
            </a:r>
            <a:endParaRPr lang="pt-BR" sz="1200">
              <a:solidFill>
                <a:schemeClr val="bg1"/>
              </a:solidFill>
              <a:latin typeface="Tw Cen MT" panose="020B0602020104020603" pitchFamily="34" charset="0"/>
            </a:endParaRPr>
          </a:p>
        </xdr:txBody>
      </xdr:sp>
    </xdr:grpSp>
    <xdr:clientData/>
  </xdr:twoCellAnchor>
  <xdr:twoCellAnchor editAs="absolute">
    <xdr:from>
      <xdr:col>11</xdr:col>
      <xdr:colOff>304800</xdr:colOff>
      <xdr:row>0</xdr:row>
      <xdr:rowOff>0</xdr:rowOff>
    </xdr:from>
    <xdr:to>
      <xdr:col>18</xdr:col>
      <xdr:colOff>0</xdr:colOff>
      <xdr:row>2</xdr:row>
      <xdr:rowOff>6927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DESCRIÇÃO">
              <a:extLst>
                <a:ext uri="{FF2B5EF4-FFF2-40B4-BE49-F238E27FC236}">
                  <a16:creationId xmlns:a16="http://schemas.microsoft.com/office/drawing/2014/main" id="{3BBE0EAD-3F7F-B24C-BD8E-B5CE6999B1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11691" y="0"/>
              <a:ext cx="5146964" cy="7827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34636</xdr:colOff>
      <xdr:row>2</xdr:row>
      <xdr:rowOff>41564</xdr:rowOff>
    </xdr:from>
    <xdr:to>
      <xdr:col>2</xdr:col>
      <xdr:colOff>297873</xdr:colOff>
      <xdr:row>2</xdr:row>
      <xdr:rowOff>235528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F3248E4-306A-9439-1584-45B7D22C31FC}"/>
            </a:ext>
          </a:extLst>
        </xdr:cNvPr>
        <xdr:cNvSpPr/>
      </xdr:nvSpPr>
      <xdr:spPr>
        <a:xfrm>
          <a:off x="34636" y="817419"/>
          <a:ext cx="554182" cy="193964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BD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160020</xdr:colOff>
      <xdr:row>0</xdr:row>
      <xdr:rowOff>15240</xdr:rowOff>
    </xdr:from>
    <xdr:to>
      <xdr:col>2</xdr:col>
      <xdr:colOff>106680</xdr:colOff>
      <xdr:row>0</xdr:row>
      <xdr:rowOff>640761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4049C43-D03B-603B-0847-1D71A62A934D}"/>
            </a:ext>
          </a:extLst>
        </xdr:cNvPr>
        <xdr:cNvGrpSpPr/>
      </xdr:nvGrpSpPr>
      <xdr:grpSpPr>
        <a:xfrm>
          <a:off x="160020" y="15240"/>
          <a:ext cx="2080260" cy="625521"/>
          <a:chOff x="7574280" y="68580"/>
          <a:chExt cx="2080260" cy="625521"/>
        </a:xfrm>
      </xdr:grpSpPr>
      <xdr:pic macro="[0]!PlanejamentoFinanceiro">
        <xdr:nvPicPr>
          <xdr:cNvPr id="3" name="Imagem 2">
            <a:extLst>
              <a:ext uri="{FF2B5EF4-FFF2-40B4-BE49-F238E27FC236}">
                <a16:creationId xmlns:a16="http://schemas.microsoft.com/office/drawing/2014/main" id="{12A5856E-C250-4FDE-B5D3-C136FAF77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74280" y="68580"/>
            <a:ext cx="625521" cy="625521"/>
          </a:xfrm>
          <a:prstGeom prst="rect">
            <a:avLst/>
          </a:prstGeom>
        </xdr:spPr>
      </xdr:pic>
      <xdr:sp macro="[0]!PlanejamentoFinanceiro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8A82F0E-B480-B75F-83D2-2365B614E272}"/>
              </a:ext>
            </a:extLst>
          </xdr:cNvPr>
          <xdr:cNvSpPr txBox="1"/>
        </xdr:nvSpPr>
        <xdr:spPr>
          <a:xfrm>
            <a:off x="8138160" y="232750"/>
            <a:ext cx="1516380" cy="29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APLICAR METÓDO</a:t>
            </a:r>
          </a:p>
        </xdr:txBody>
      </xdr:sp>
    </xdr:grpSp>
    <xdr:clientData/>
  </xdr:twoCellAnchor>
  <xdr:twoCellAnchor>
    <xdr:from>
      <xdr:col>6</xdr:col>
      <xdr:colOff>457200</xdr:colOff>
      <xdr:row>0</xdr:row>
      <xdr:rowOff>121920</xdr:rowOff>
    </xdr:from>
    <xdr:to>
      <xdr:col>9</xdr:col>
      <xdr:colOff>167500</xdr:colOff>
      <xdr:row>0</xdr:row>
      <xdr:rowOff>571920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FC5483-8B63-4F64-95E9-24ED87418EAC}"/>
            </a:ext>
          </a:extLst>
        </xdr:cNvPr>
        <xdr:cNvGrpSpPr/>
      </xdr:nvGrpSpPr>
      <xdr:grpSpPr>
        <a:xfrm>
          <a:off x="5424055" y="121920"/>
          <a:ext cx="2266463" cy="450000"/>
          <a:chOff x="3265734" y="222534"/>
          <a:chExt cx="2263000" cy="450000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5113DF47-C06C-E04F-2757-42D88280DC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65734" y="222534"/>
            <a:ext cx="450000" cy="450000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91B4C7F-A852-FDEA-D438-A07170440E3C}"/>
              </a:ext>
            </a:extLst>
          </xdr:cNvPr>
          <xdr:cNvSpPr txBox="1"/>
        </xdr:nvSpPr>
        <xdr:spPr>
          <a:xfrm>
            <a:off x="3725332" y="295134"/>
            <a:ext cx="1803402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INVESTIMENTO</a:t>
            </a:r>
          </a:p>
        </xdr:txBody>
      </xdr:sp>
    </xdr:grpSp>
    <xdr:clientData/>
  </xdr:twoCellAnchor>
  <xdr:twoCellAnchor>
    <xdr:from>
      <xdr:col>2</xdr:col>
      <xdr:colOff>716280</xdr:colOff>
      <xdr:row>0</xdr:row>
      <xdr:rowOff>160020</xdr:rowOff>
    </xdr:from>
    <xdr:to>
      <xdr:col>6</xdr:col>
      <xdr:colOff>126151</xdr:colOff>
      <xdr:row>0</xdr:row>
      <xdr:rowOff>582671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AC9C46E-4C2F-4F46-8FBE-739B7653419A}"/>
            </a:ext>
          </a:extLst>
        </xdr:cNvPr>
        <xdr:cNvGrpSpPr/>
      </xdr:nvGrpSpPr>
      <xdr:grpSpPr>
        <a:xfrm>
          <a:off x="2849880" y="160020"/>
          <a:ext cx="2243126" cy="422651"/>
          <a:chOff x="5926668" y="297016"/>
          <a:chExt cx="2252131" cy="450000"/>
        </a:xfrm>
      </xdr:grpSpPr>
      <xdr:pic macro="[0]!cadastro">
        <xdr:nvPicPr>
          <xdr:cNvPr id="10" name="Imagem 9">
            <a:extLst>
              <a:ext uri="{FF2B5EF4-FFF2-40B4-BE49-F238E27FC236}">
                <a16:creationId xmlns:a16="http://schemas.microsoft.com/office/drawing/2014/main" id="{EFF3B6CD-AF9A-25DF-12F2-F4E2EFA79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26668" y="297016"/>
            <a:ext cx="450000" cy="450000"/>
          </a:xfrm>
          <a:prstGeom prst="rect">
            <a:avLst/>
          </a:prstGeom>
        </xdr:spPr>
      </xdr:pic>
      <xdr:sp macro="[0]!cadastro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E34E525-7945-5125-71CB-5C388C574E34}"/>
              </a:ext>
            </a:extLst>
          </xdr:cNvPr>
          <xdr:cNvSpPr txBox="1"/>
        </xdr:nvSpPr>
        <xdr:spPr>
          <a:xfrm>
            <a:off x="6341531" y="361150"/>
            <a:ext cx="1837268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DESPESAS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0</xdr:row>
      <xdr:rowOff>205740</xdr:rowOff>
    </xdr:from>
    <xdr:to>
      <xdr:col>3</xdr:col>
      <xdr:colOff>556260</xdr:colOff>
      <xdr:row>1</xdr:row>
      <xdr:rowOff>384551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1F53EF-495A-4EEE-834F-FF1F45EDA98F}"/>
            </a:ext>
          </a:extLst>
        </xdr:cNvPr>
        <xdr:cNvGrpSpPr/>
      </xdr:nvGrpSpPr>
      <xdr:grpSpPr>
        <a:xfrm>
          <a:off x="182880" y="205740"/>
          <a:ext cx="2430780" cy="421266"/>
          <a:chOff x="5926668" y="297016"/>
          <a:chExt cx="2252131" cy="450000"/>
        </a:xfrm>
      </xdr:grpSpPr>
      <xdr:pic macro="[0]!cadastro">
        <xdr:nvPicPr>
          <xdr:cNvPr id="3" name="Imagem 2">
            <a:extLst>
              <a:ext uri="{FF2B5EF4-FFF2-40B4-BE49-F238E27FC236}">
                <a16:creationId xmlns:a16="http://schemas.microsoft.com/office/drawing/2014/main" id="{D28872A4-B267-7501-961D-F7059F9BE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26668" y="297016"/>
            <a:ext cx="450000" cy="450000"/>
          </a:xfrm>
          <a:prstGeom prst="rect">
            <a:avLst/>
          </a:prstGeom>
        </xdr:spPr>
      </xdr:pic>
      <xdr:sp macro="[0]!cadastro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42D3F36-B270-94F8-29BC-84302CDB1ABD}"/>
              </a:ext>
            </a:extLst>
          </xdr:cNvPr>
          <xdr:cNvSpPr txBox="1"/>
        </xdr:nvSpPr>
        <xdr:spPr>
          <a:xfrm>
            <a:off x="6341531" y="361150"/>
            <a:ext cx="1837268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DESPESAS</a:t>
            </a:r>
          </a:p>
        </xdr:txBody>
      </xdr:sp>
    </xdr:grpSp>
    <xdr:clientData/>
  </xdr:twoCellAnchor>
  <xdr:twoCellAnchor>
    <xdr:from>
      <xdr:col>4</xdr:col>
      <xdr:colOff>434340</xdr:colOff>
      <xdr:row>0</xdr:row>
      <xdr:rowOff>190500</xdr:rowOff>
    </xdr:from>
    <xdr:to>
      <xdr:col>8</xdr:col>
      <xdr:colOff>353906</xdr:colOff>
      <xdr:row>1</xdr:row>
      <xdr:rowOff>395393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50E518-4220-4B37-BB98-D690B552D333}"/>
            </a:ext>
          </a:extLst>
        </xdr:cNvPr>
        <xdr:cNvGrpSpPr/>
      </xdr:nvGrpSpPr>
      <xdr:grpSpPr>
        <a:xfrm>
          <a:off x="3163685" y="190500"/>
          <a:ext cx="3161530" cy="447348"/>
          <a:chOff x="262467" y="231656"/>
          <a:chExt cx="2319866" cy="448733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2A4106A5-488B-7A67-D995-CD409FCE0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2467" y="231656"/>
            <a:ext cx="448733" cy="448733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BC2BA49-0C6E-DBBE-8556-2161FD1E4B64}"/>
              </a:ext>
            </a:extLst>
          </xdr:cNvPr>
          <xdr:cNvSpPr txBox="1"/>
        </xdr:nvSpPr>
        <xdr:spPr>
          <a:xfrm>
            <a:off x="745065" y="295156"/>
            <a:ext cx="1837268" cy="3217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400">
                <a:solidFill>
                  <a:schemeClr val="bg1"/>
                </a:solidFill>
                <a:latin typeface="Tw Cen MT" panose="020B0602020104020603" pitchFamily="34" charset="0"/>
              </a:rPr>
              <a:t>RESUMO FINANCEIRO</a:t>
            </a:r>
          </a:p>
        </xdr:txBody>
      </xdr:sp>
    </xdr:grpSp>
    <xdr:clientData/>
  </xdr:twoCellAnchor>
  <xdr:twoCellAnchor>
    <xdr:from>
      <xdr:col>9</xdr:col>
      <xdr:colOff>495300</xdr:colOff>
      <xdr:row>0</xdr:row>
      <xdr:rowOff>98450</xdr:rowOff>
    </xdr:from>
    <xdr:to>
      <xdr:col>11</xdr:col>
      <xdr:colOff>228600</xdr:colOff>
      <xdr:row>1</xdr:row>
      <xdr:rowOff>357530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C3DE035-9B43-9FD0-2292-0E182BE1FE5B}"/>
            </a:ext>
          </a:extLst>
        </xdr:cNvPr>
        <xdr:cNvGrpSpPr/>
      </xdr:nvGrpSpPr>
      <xdr:grpSpPr>
        <a:xfrm>
          <a:off x="7076209" y="98450"/>
          <a:ext cx="2240973" cy="501535"/>
          <a:chOff x="7063740" y="98450"/>
          <a:chExt cx="2240280" cy="502920"/>
        </a:xfrm>
      </xdr:grpSpPr>
      <xdr:pic macro="[0]!DescobrirPerfilInvestidor">
        <xdr:nvPicPr>
          <xdr:cNvPr id="12" name="Imagem 11">
            <a:extLst>
              <a:ext uri="{FF2B5EF4-FFF2-40B4-BE49-F238E27FC236}">
                <a16:creationId xmlns:a16="http://schemas.microsoft.com/office/drawing/2014/main" id="{047321DE-E08A-EF11-B5D0-EBAC238971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3740" y="98450"/>
            <a:ext cx="502920" cy="502920"/>
          </a:xfrm>
          <a:prstGeom prst="rect">
            <a:avLst/>
          </a:prstGeom>
        </xdr:spPr>
      </xdr:pic>
      <xdr:sp macro="[0]!DescobrirPerfilInvestidor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32F4A5F-42AF-43FA-7B4B-15E18B0078C1}"/>
              </a:ext>
            </a:extLst>
          </xdr:cNvPr>
          <xdr:cNvSpPr txBox="1"/>
        </xdr:nvSpPr>
        <xdr:spPr>
          <a:xfrm>
            <a:off x="7574280" y="170840"/>
            <a:ext cx="1729740" cy="3581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ln>
                  <a:solidFill>
                    <a:schemeClr val="tx1"/>
                  </a:solidFill>
                </a:ln>
                <a:solidFill>
                  <a:srgbClr val="FF0000"/>
                </a:solidFill>
                <a:latin typeface="Tw Cen MT" panose="020B0602020104020603" pitchFamily="34" charset="0"/>
              </a:rPr>
              <a:t>PERFIL INVESTIDOR</a:t>
            </a:r>
          </a:p>
        </xdr:txBody>
      </xdr:sp>
    </xdr:grpSp>
    <xdr:clientData/>
  </xdr:twoCellAnchor>
  <xdr:twoCellAnchor>
    <xdr:from>
      <xdr:col>11</xdr:col>
      <xdr:colOff>928254</xdr:colOff>
      <xdr:row>0</xdr:row>
      <xdr:rowOff>430</xdr:rowOff>
    </xdr:from>
    <xdr:to>
      <xdr:col>12</xdr:col>
      <xdr:colOff>983673</xdr:colOff>
      <xdr:row>1</xdr:row>
      <xdr:rowOff>387927</xdr:rowOff>
    </xdr:to>
    <xdr:grpSp>
      <xdr:nvGrpSpPr>
        <xdr:cNvPr id="18" name="Agrupar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115A742-FF4C-B93E-13C9-0201598ED073}"/>
            </a:ext>
          </a:extLst>
        </xdr:cNvPr>
        <xdr:cNvGrpSpPr/>
      </xdr:nvGrpSpPr>
      <xdr:grpSpPr>
        <a:xfrm>
          <a:off x="10016836" y="430"/>
          <a:ext cx="1170710" cy="629952"/>
          <a:chOff x="9850581" y="41993"/>
          <a:chExt cx="1170710" cy="629952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A6813A62-685B-ADCB-CC9D-D37A2E2C9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5489" y="41993"/>
            <a:ext cx="848132" cy="477552"/>
          </a:xfrm>
          <a:prstGeom prst="rect">
            <a:avLst/>
          </a:prstGeom>
        </xdr:spPr>
      </xdr:pic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EC5F2230-6C2F-41EC-7D98-52F697A30005}"/>
              </a:ext>
            </a:extLst>
          </xdr:cNvPr>
          <xdr:cNvSpPr txBox="1"/>
        </xdr:nvSpPr>
        <xdr:spPr>
          <a:xfrm>
            <a:off x="9850581" y="415636"/>
            <a:ext cx="1170710" cy="2563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  <a:latin typeface="Tw Cen MT" panose="020B0602020104020603" pitchFamily="34" charset="0"/>
                <a:cs typeface="72 Light" panose="020B0303030000000003" pitchFamily="34" charset="0"/>
              </a:rPr>
              <a:t>B3 INVESTIDOR</a:t>
            </a:r>
          </a:p>
        </xdr:txBody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SCRIÇÃO" xr10:uid="{EC2A8F60-F45E-435F-BD95-539964CD6598}" sourceName="DESCRIÇÃO">
  <extLst>
    <x:ext xmlns:x15="http://schemas.microsoft.com/office/spreadsheetml/2010/11/main" uri="{2F2917AC-EB37-4324-AD4E-5DD8C200BD13}">
      <x15:tableSlicerCache tableId="1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ÇÃO" xr10:uid="{91396D6A-78A3-4578-B452-13CBCC22C600}" cache="SegmentaçãodeDados_DESCRIÇÃO" caption="DESCRIÇÃO" columnCount="6" style="SlicerStyleLight1 3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0302CC-52F8-4F4F-8334-A1769B43FCFA}" name="tbltipos" displayName="tbltipos" ref="A1:B261" totalsRowShown="0">
  <autoFilter ref="A1:B261" xr:uid="{FF0302CC-52F8-4F4F-8334-A1769B43FCFA}"/>
  <tableColumns count="2">
    <tableColumn id="1" xr3:uid="{47C47B35-7D6F-46F8-B54A-895F55E6BA46}" name="Descrição"/>
    <tableColumn id="2" xr3:uid="{7BE76DA0-37D9-4832-B24E-092B76CBFACB}" name="Tip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FAE4AC-9B8D-4030-ABB5-81BA88D0E0C3}" name="tbldespesa" displayName="tbldespesa" ref="C4:Q5" insertRow="1" totalsRowShown="0" headerRowDxfId="27" dataDxfId="26">
  <autoFilter ref="C4:Q5" xr:uid="{CDFAE4AC-9B8D-4030-ABB5-81BA88D0E0C3}"/>
  <tableColumns count="15">
    <tableColumn id="1" xr3:uid="{9F36AFE9-3ED5-4EC9-8104-C4191223BEAF}" name="DESCRIÇÃO" dataDxfId="25"/>
    <tableColumn id="2" xr3:uid="{E56B05CD-5742-439D-BD3D-43021668E492}" name="VALOR DA PARCELA" dataDxfId="24"/>
    <tableColumn id="3" xr3:uid="{DFC99218-ED5F-403D-95B7-FC68A9143194}" name="1° PARCELA" dataDxfId="23"/>
    <tableColumn id="4" xr3:uid="{8804277F-812E-4FE2-A998-277EDDB8CF5F}" name="TOTAL DE PARC" dataDxfId="22"/>
    <tableColumn id="5" xr3:uid="{46557EC3-5B1C-435D-93AA-36861AA4149F}" name="PARC PAGAS" dataDxfId="21"/>
    <tableColumn id="6" xr3:uid="{5E475BEF-F104-4999-80D1-E00B36C18BCE}" name="PARC RESTANTE" dataDxfId="20"/>
    <tableColumn id="7" xr3:uid="{E6406903-4F91-4C45-A22B-3E83DDA6BEFC}" name="PRÓX VENC" dataDxfId="19"/>
    <tableColumn id="8" xr3:uid="{5C22E625-4624-49A4-A9C4-9DE46734A3B0}" name="ULT VENC" dataDxfId="18"/>
    <tableColumn id="9" xr3:uid="{F9876441-1A27-49F7-98C8-4F7F81186979}" name="ATRASO" dataDxfId="17"/>
    <tableColumn id="10" xr3:uid="{E1B6F961-C07F-4134-818C-D657C4936E54}" name="VALOR TOTAL" dataDxfId="16"/>
    <tableColumn id="11" xr3:uid="{2F14AF4E-CA6F-42BA-8DA6-4007DBB719BA}" name="A PAGAR" dataDxfId="15"/>
    <tableColumn id="12" xr3:uid="{2BD7B607-35F6-4AC3-910D-24FB1DD1D466}" name="SITUAÇÃO" dataDxfId="14"/>
    <tableColumn id="13" xr3:uid="{82CB7A48-6166-4E60-BE86-C84B70578FDF}" name="TIPO" dataDxfId="13"/>
    <tableColumn id="15" xr3:uid="{78BA753E-F3A4-43E3-A3D1-709A9548DE4C}" name="MÊS" dataDxfId="12"/>
    <tableColumn id="16" xr3:uid="{B63C9736-6F9E-4AF4-9E20-6179E5C6B8D0}" name="STATUS" dataDxfId="1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3731-AC01-4189-AA31-4337D1886981}">
  <sheetPr codeName="Planilha1"/>
  <dimension ref="A1:B261"/>
  <sheetViews>
    <sheetView zoomScaleNormal="100" workbookViewId="0">
      <selection activeCell="A261" sqref="A261"/>
    </sheetView>
  </sheetViews>
  <sheetFormatPr defaultRowHeight="14.4" x14ac:dyDescent="0.3"/>
  <cols>
    <col min="1" max="1" width="24.109375" bestFit="1" customWidth="1"/>
    <col min="2" max="2" width="24.109375" customWidth="1"/>
    <col min="3" max="3" width="21.88671875" bestFit="1" customWidth="1"/>
    <col min="4" max="4" width="17.33203125" bestFit="1" customWidth="1"/>
    <col min="5" max="5" width="11.33203125" bestFit="1" customWidth="1"/>
    <col min="6" max="6" width="16.44140625" bestFit="1" customWidth="1"/>
    <col min="7" max="7" width="7.44140625" bestFit="1" customWidth="1"/>
    <col min="8" max="8" width="3.109375" customWidth="1"/>
    <col min="9" max="9" width="11.33203125" bestFit="1" customWidth="1"/>
    <col min="10" max="10" width="16.4414062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3</v>
      </c>
      <c r="B2" t="s">
        <v>43</v>
      </c>
    </row>
    <row r="3" spans="1:2" x14ac:dyDescent="0.3">
      <c r="A3" t="s">
        <v>44</v>
      </c>
      <c r="B3" t="s">
        <v>43</v>
      </c>
    </row>
    <row r="4" spans="1:2" x14ac:dyDescent="0.3">
      <c r="A4" t="s">
        <v>4</v>
      </c>
      <c r="B4" t="s">
        <v>43</v>
      </c>
    </row>
    <row r="5" spans="1:2" x14ac:dyDescent="0.3">
      <c r="A5" t="s">
        <v>45</v>
      </c>
      <c r="B5" t="s">
        <v>43</v>
      </c>
    </row>
    <row r="6" spans="1:2" x14ac:dyDescent="0.3">
      <c r="A6" t="s">
        <v>46</v>
      </c>
      <c r="B6" t="s">
        <v>43</v>
      </c>
    </row>
    <row r="7" spans="1:2" x14ac:dyDescent="0.3">
      <c r="A7" t="s">
        <v>47</v>
      </c>
      <c r="B7" t="s">
        <v>43</v>
      </c>
    </row>
    <row r="8" spans="1:2" x14ac:dyDescent="0.3">
      <c r="A8" t="s">
        <v>48</v>
      </c>
      <c r="B8" t="s">
        <v>43</v>
      </c>
    </row>
    <row r="9" spans="1:2" x14ac:dyDescent="0.3">
      <c r="A9" t="s">
        <v>49</v>
      </c>
      <c r="B9" t="s">
        <v>43</v>
      </c>
    </row>
    <row r="10" spans="1:2" x14ac:dyDescent="0.3">
      <c r="A10" t="s">
        <v>50</v>
      </c>
      <c r="B10" t="s">
        <v>43</v>
      </c>
    </row>
    <row r="11" spans="1:2" x14ac:dyDescent="0.3">
      <c r="A11" t="s">
        <v>51</v>
      </c>
      <c r="B11" t="s">
        <v>43</v>
      </c>
    </row>
    <row r="12" spans="1:2" x14ac:dyDescent="0.3">
      <c r="A12" t="s">
        <v>52</v>
      </c>
      <c r="B12" t="s">
        <v>43</v>
      </c>
    </row>
    <row r="13" spans="1:2" ht="15" customHeight="1" x14ac:dyDescent="0.3">
      <c r="A13" t="s">
        <v>53</v>
      </c>
      <c r="B13" t="s">
        <v>43</v>
      </c>
    </row>
    <row r="14" spans="1:2" x14ac:dyDescent="0.3">
      <c r="A14" t="s">
        <v>54</v>
      </c>
      <c r="B14" t="s">
        <v>43</v>
      </c>
    </row>
    <row r="15" spans="1:2" x14ac:dyDescent="0.3">
      <c r="A15" t="s">
        <v>143</v>
      </c>
      <c r="B15" t="s">
        <v>43</v>
      </c>
    </row>
    <row r="16" spans="1:2" x14ac:dyDescent="0.3">
      <c r="A16" t="s">
        <v>140</v>
      </c>
      <c r="B16" t="s">
        <v>43</v>
      </c>
    </row>
    <row r="17" spans="1:2" x14ac:dyDescent="0.3">
      <c r="A17" t="s">
        <v>141</v>
      </c>
      <c r="B17" t="s">
        <v>43</v>
      </c>
    </row>
    <row r="18" spans="1:2" x14ac:dyDescent="0.3">
      <c r="A18" t="s">
        <v>139</v>
      </c>
      <c r="B18" t="s">
        <v>43</v>
      </c>
    </row>
    <row r="19" spans="1:2" x14ac:dyDescent="0.3">
      <c r="A19" t="s">
        <v>142</v>
      </c>
      <c r="B19" t="s">
        <v>43</v>
      </c>
    </row>
    <row r="20" spans="1:2" x14ac:dyDescent="0.3">
      <c r="A20" t="s">
        <v>144</v>
      </c>
      <c r="B20" t="s">
        <v>43</v>
      </c>
    </row>
    <row r="21" spans="1:2" x14ac:dyDescent="0.3">
      <c r="A21" t="s">
        <v>55</v>
      </c>
      <c r="B21" t="s">
        <v>43</v>
      </c>
    </row>
    <row r="22" spans="1:2" x14ac:dyDescent="0.3">
      <c r="A22" t="s">
        <v>56</v>
      </c>
      <c r="B22" t="s">
        <v>43</v>
      </c>
    </row>
    <row r="23" spans="1:2" x14ac:dyDescent="0.3">
      <c r="A23" t="s">
        <v>57</v>
      </c>
      <c r="B23" t="s">
        <v>43</v>
      </c>
    </row>
    <row r="24" spans="1:2" x14ac:dyDescent="0.3">
      <c r="A24" t="s">
        <v>58</v>
      </c>
      <c r="B24" t="s">
        <v>43</v>
      </c>
    </row>
    <row r="25" spans="1:2" x14ac:dyDescent="0.3">
      <c r="A25" t="s">
        <v>59</v>
      </c>
      <c r="B25" t="s">
        <v>43</v>
      </c>
    </row>
    <row r="26" spans="1:2" x14ac:dyDescent="0.3">
      <c r="A26" t="s">
        <v>145</v>
      </c>
      <c r="B26" t="s">
        <v>43</v>
      </c>
    </row>
    <row r="27" spans="1:2" x14ac:dyDescent="0.3">
      <c r="A27" t="s">
        <v>6</v>
      </c>
      <c r="B27" t="s">
        <v>43</v>
      </c>
    </row>
    <row r="28" spans="1:2" x14ac:dyDescent="0.3">
      <c r="A28" t="s">
        <v>146</v>
      </c>
      <c r="B28" t="s">
        <v>43</v>
      </c>
    </row>
    <row r="29" spans="1:2" x14ac:dyDescent="0.3">
      <c r="A29" t="s">
        <v>147</v>
      </c>
      <c r="B29" t="s">
        <v>43</v>
      </c>
    </row>
    <row r="30" spans="1:2" x14ac:dyDescent="0.3">
      <c r="A30" t="s">
        <v>60</v>
      </c>
      <c r="B30" t="s">
        <v>43</v>
      </c>
    </row>
    <row r="31" spans="1:2" x14ac:dyDescent="0.3">
      <c r="A31" t="s">
        <v>61</v>
      </c>
      <c r="B31" t="s">
        <v>43</v>
      </c>
    </row>
    <row r="32" spans="1:2" x14ac:dyDescent="0.3">
      <c r="A32" t="s">
        <v>62</v>
      </c>
      <c r="B32" t="s">
        <v>43</v>
      </c>
    </row>
    <row r="33" spans="1:2" x14ac:dyDescent="0.3">
      <c r="A33" t="s">
        <v>5</v>
      </c>
      <c r="B33" t="s">
        <v>43</v>
      </c>
    </row>
    <row r="34" spans="1:2" x14ac:dyDescent="0.3">
      <c r="A34" t="s">
        <v>65</v>
      </c>
      <c r="B34" t="s">
        <v>43</v>
      </c>
    </row>
    <row r="35" spans="1:2" x14ac:dyDescent="0.3">
      <c r="A35" t="s">
        <v>63</v>
      </c>
      <c r="B35" t="s">
        <v>43</v>
      </c>
    </row>
    <row r="36" spans="1:2" x14ac:dyDescent="0.3">
      <c r="A36" t="s">
        <v>64</v>
      </c>
      <c r="B36" t="s">
        <v>43</v>
      </c>
    </row>
    <row r="37" spans="1:2" x14ac:dyDescent="0.3">
      <c r="A37" t="s">
        <v>66</v>
      </c>
      <c r="B37" t="s">
        <v>43</v>
      </c>
    </row>
    <row r="38" spans="1:2" x14ac:dyDescent="0.3">
      <c r="A38" t="s">
        <v>69</v>
      </c>
      <c r="B38" t="s">
        <v>43</v>
      </c>
    </row>
    <row r="39" spans="1:2" x14ac:dyDescent="0.3">
      <c r="A39" t="s">
        <v>148</v>
      </c>
      <c r="B39" t="s">
        <v>43</v>
      </c>
    </row>
    <row r="40" spans="1:2" x14ac:dyDescent="0.3">
      <c r="A40" t="s">
        <v>70</v>
      </c>
      <c r="B40" t="s">
        <v>43</v>
      </c>
    </row>
    <row r="41" spans="1:2" x14ac:dyDescent="0.3">
      <c r="A41" t="s">
        <v>71</v>
      </c>
      <c r="B41" t="s">
        <v>43</v>
      </c>
    </row>
    <row r="42" spans="1:2" x14ac:dyDescent="0.3">
      <c r="A42" t="s">
        <v>72</v>
      </c>
      <c r="B42" t="s">
        <v>43</v>
      </c>
    </row>
    <row r="43" spans="1:2" x14ac:dyDescent="0.3">
      <c r="A43" t="s">
        <v>149</v>
      </c>
      <c r="B43" t="s">
        <v>43</v>
      </c>
    </row>
    <row r="44" spans="1:2" x14ac:dyDescent="0.3">
      <c r="A44" t="s">
        <v>67</v>
      </c>
      <c r="B44" t="s">
        <v>43</v>
      </c>
    </row>
    <row r="45" spans="1:2" x14ac:dyDescent="0.3">
      <c r="A45" t="s">
        <v>150</v>
      </c>
      <c r="B45" t="s">
        <v>43</v>
      </c>
    </row>
    <row r="46" spans="1:2" x14ac:dyDescent="0.3">
      <c r="A46" t="s">
        <v>68</v>
      </c>
      <c r="B46" t="s">
        <v>43</v>
      </c>
    </row>
    <row r="47" spans="1:2" x14ac:dyDescent="0.3">
      <c r="A47" t="s">
        <v>73</v>
      </c>
      <c r="B47" t="s">
        <v>43</v>
      </c>
    </row>
    <row r="48" spans="1:2" x14ac:dyDescent="0.3">
      <c r="A48" t="s">
        <v>151</v>
      </c>
      <c r="B48" t="s">
        <v>43</v>
      </c>
    </row>
    <row r="49" spans="1:2" x14ac:dyDescent="0.3">
      <c r="A49" t="s">
        <v>74</v>
      </c>
      <c r="B49" t="s">
        <v>43</v>
      </c>
    </row>
    <row r="50" spans="1:2" x14ac:dyDescent="0.3">
      <c r="A50" t="s">
        <v>75</v>
      </c>
      <c r="B50" t="s">
        <v>43</v>
      </c>
    </row>
    <row r="51" spans="1:2" x14ac:dyDescent="0.3">
      <c r="A51" t="s">
        <v>76</v>
      </c>
      <c r="B51" t="s">
        <v>43</v>
      </c>
    </row>
    <row r="52" spans="1:2" x14ac:dyDescent="0.3">
      <c r="A52" t="s">
        <v>77</v>
      </c>
      <c r="B52" t="s">
        <v>43</v>
      </c>
    </row>
    <row r="53" spans="1:2" x14ac:dyDescent="0.3">
      <c r="A53" t="s">
        <v>78</v>
      </c>
      <c r="B53" t="s">
        <v>43</v>
      </c>
    </row>
    <row r="54" spans="1:2" x14ac:dyDescent="0.3">
      <c r="A54" t="s">
        <v>79</v>
      </c>
      <c r="B54" t="s">
        <v>43</v>
      </c>
    </row>
    <row r="55" spans="1:2" x14ac:dyDescent="0.3">
      <c r="A55" t="s">
        <v>80</v>
      </c>
      <c r="B55" t="s">
        <v>43</v>
      </c>
    </row>
    <row r="56" spans="1:2" x14ac:dyDescent="0.3">
      <c r="A56" t="s">
        <v>152</v>
      </c>
      <c r="B56" t="s">
        <v>43</v>
      </c>
    </row>
    <row r="57" spans="1:2" x14ac:dyDescent="0.3">
      <c r="A57" t="s">
        <v>81</v>
      </c>
      <c r="B57" t="s">
        <v>43</v>
      </c>
    </row>
    <row r="58" spans="1:2" x14ac:dyDescent="0.3">
      <c r="A58" t="s">
        <v>88</v>
      </c>
      <c r="B58" t="s">
        <v>43</v>
      </c>
    </row>
    <row r="59" spans="1:2" x14ac:dyDescent="0.3">
      <c r="A59" t="s">
        <v>82</v>
      </c>
      <c r="B59" t="s">
        <v>43</v>
      </c>
    </row>
    <row r="60" spans="1:2" x14ac:dyDescent="0.3">
      <c r="A60" t="s">
        <v>83</v>
      </c>
      <c r="B60" t="s">
        <v>43</v>
      </c>
    </row>
    <row r="61" spans="1:2" x14ac:dyDescent="0.3">
      <c r="A61" t="s">
        <v>84</v>
      </c>
      <c r="B61" t="s">
        <v>43</v>
      </c>
    </row>
    <row r="62" spans="1:2" x14ac:dyDescent="0.3">
      <c r="A62" t="s">
        <v>153</v>
      </c>
      <c r="B62" t="s">
        <v>43</v>
      </c>
    </row>
    <row r="63" spans="1:2" x14ac:dyDescent="0.3">
      <c r="A63" t="s">
        <v>85</v>
      </c>
      <c r="B63" t="s">
        <v>43</v>
      </c>
    </row>
    <row r="64" spans="1:2" x14ac:dyDescent="0.3">
      <c r="A64" t="s">
        <v>86</v>
      </c>
      <c r="B64" t="s">
        <v>43</v>
      </c>
    </row>
    <row r="65" spans="1:2" x14ac:dyDescent="0.3">
      <c r="A65" t="s">
        <v>87</v>
      </c>
      <c r="B65" t="s">
        <v>43</v>
      </c>
    </row>
    <row r="66" spans="1:2" x14ac:dyDescent="0.3">
      <c r="A66" t="s">
        <v>154</v>
      </c>
      <c r="B66" t="s">
        <v>43</v>
      </c>
    </row>
    <row r="67" spans="1:2" x14ac:dyDescent="0.3">
      <c r="A67" t="s">
        <v>89</v>
      </c>
      <c r="B67" t="s">
        <v>43</v>
      </c>
    </row>
    <row r="68" spans="1:2" x14ac:dyDescent="0.3">
      <c r="A68" t="s">
        <v>90</v>
      </c>
      <c r="B68" t="s">
        <v>43</v>
      </c>
    </row>
    <row r="69" spans="1:2" x14ac:dyDescent="0.3">
      <c r="A69" t="s">
        <v>91</v>
      </c>
      <c r="B69" t="s">
        <v>43</v>
      </c>
    </row>
    <row r="70" spans="1:2" x14ac:dyDescent="0.3">
      <c r="A70" t="s">
        <v>93</v>
      </c>
      <c r="B70" t="s">
        <v>43</v>
      </c>
    </row>
    <row r="71" spans="1:2" x14ac:dyDescent="0.3">
      <c r="A71" t="s">
        <v>155</v>
      </c>
      <c r="B71" t="s">
        <v>43</v>
      </c>
    </row>
    <row r="72" spans="1:2" x14ac:dyDescent="0.3">
      <c r="A72" t="s">
        <v>92</v>
      </c>
      <c r="B72" t="s">
        <v>43</v>
      </c>
    </row>
    <row r="73" spans="1:2" x14ac:dyDescent="0.3">
      <c r="A73" t="s">
        <v>100</v>
      </c>
      <c r="B73" t="s">
        <v>43</v>
      </c>
    </row>
    <row r="74" spans="1:2" x14ac:dyDescent="0.3">
      <c r="A74" t="s">
        <v>98</v>
      </c>
      <c r="B74" t="s">
        <v>43</v>
      </c>
    </row>
    <row r="75" spans="1:2" x14ac:dyDescent="0.3">
      <c r="A75" t="s">
        <v>99</v>
      </c>
      <c r="B75" t="s">
        <v>43</v>
      </c>
    </row>
    <row r="76" spans="1:2" x14ac:dyDescent="0.3">
      <c r="A76" t="s">
        <v>94</v>
      </c>
      <c r="B76" t="s">
        <v>43</v>
      </c>
    </row>
    <row r="77" spans="1:2" x14ac:dyDescent="0.3">
      <c r="A77" t="s">
        <v>95</v>
      </c>
      <c r="B77" t="s">
        <v>43</v>
      </c>
    </row>
    <row r="78" spans="1:2" x14ac:dyDescent="0.3">
      <c r="A78" t="s">
        <v>96</v>
      </c>
      <c r="B78" t="s">
        <v>43</v>
      </c>
    </row>
    <row r="79" spans="1:2" x14ac:dyDescent="0.3">
      <c r="A79" t="s">
        <v>97</v>
      </c>
      <c r="B79" t="s">
        <v>43</v>
      </c>
    </row>
    <row r="80" spans="1:2" x14ac:dyDescent="0.3">
      <c r="A80" t="s">
        <v>156</v>
      </c>
      <c r="B80" t="s">
        <v>43</v>
      </c>
    </row>
    <row r="81" spans="1:2" x14ac:dyDescent="0.3">
      <c r="A81" t="s">
        <v>157</v>
      </c>
      <c r="B81" t="s">
        <v>43</v>
      </c>
    </row>
    <row r="82" spans="1:2" x14ac:dyDescent="0.3">
      <c r="A82" t="s">
        <v>158</v>
      </c>
      <c r="B82" t="s">
        <v>43</v>
      </c>
    </row>
    <row r="83" spans="1:2" x14ac:dyDescent="0.3">
      <c r="A83" t="s">
        <v>159</v>
      </c>
      <c r="B83" t="s">
        <v>43</v>
      </c>
    </row>
    <row r="84" spans="1:2" x14ac:dyDescent="0.3">
      <c r="A84" t="s">
        <v>160</v>
      </c>
      <c r="B84" t="s">
        <v>43</v>
      </c>
    </row>
    <row r="85" spans="1:2" x14ac:dyDescent="0.3">
      <c r="A85" t="s">
        <v>161</v>
      </c>
      <c r="B85" t="s">
        <v>43</v>
      </c>
    </row>
    <row r="86" spans="1:2" x14ac:dyDescent="0.3">
      <c r="A86" t="s">
        <v>162</v>
      </c>
      <c r="B86" t="s">
        <v>43</v>
      </c>
    </row>
    <row r="87" spans="1:2" x14ac:dyDescent="0.3">
      <c r="A87" t="s">
        <v>163</v>
      </c>
      <c r="B87" t="s">
        <v>43</v>
      </c>
    </row>
    <row r="88" spans="1:2" x14ac:dyDescent="0.3">
      <c r="A88" t="s">
        <v>164</v>
      </c>
      <c r="B88" t="s">
        <v>43</v>
      </c>
    </row>
    <row r="89" spans="1:2" x14ac:dyDescent="0.3">
      <c r="A89" t="s">
        <v>165</v>
      </c>
      <c r="B89" t="s">
        <v>43</v>
      </c>
    </row>
    <row r="90" spans="1:2" x14ac:dyDescent="0.3">
      <c r="A90" t="s">
        <v>166</v>
      </c>
      <c r="B90" t="s">
        <v>43</v>
      </c>
    </row>
    <row r="91" spans="1:2" x14ac:dyDescent="0.3">
      <c r="A91" t="s">
        <v>167</v>
      </c>
      <c r="B91" t="s">
        <v>43</v>
      </c>
    </row>
    <row r="92" spans="1:2" x14ac:dyDescent="0.3">
      <c r="A92" t="s">
        <v>168</v>
      </c>
      <c r="B92" t="s">
        <v>43</v>
      </c>
    </row>
    <row r="93" spans="1:2" x14ac:dyDescent="0.3">
      <c r="A93" t="s">
        <v>169</v>
      </c>
      <c r="B93" t="s">
        <v>43</v>
      </c>
    </row>
    <row r="94" spans="1:2" x14ac:dyDescent="0.3">
      <c r="A94" t="s">
        <v>170</v>
      </c>
      <c r="B94" t="s">
        <v>43</v>
      </c>
    </row>
    <row r="95" spans="1:2" x14ac:dyDescent="0.3">
      <c r="A95" t="s">
        <v>171</v>
      </c>
      <c r="B95" t="s">
        <v>43</v>
      </c>
    </row>
    <row r="96" spans="1:2" x14ac:dyDescent="0.3">
      <c r="A96" t="s">
        <v>172</v>
      </c>
      <c r="B96" t="s">
        <v>43</v>
      </c>
    </row>
    <row r="97" spans="1:2" x14ac:dyDescent="0.3">
      <c r="A97" t="s">
        <v>173</v>
      </c>
      <c r="B97" t="s">
        <v>43</v>
      </c>
    </row>
    <row r="98" spans="1:2" x14ac:dyDescent="0.3">
      <c r="A98" t="s">
        <v>174</v>
      </c>
      <c r="B98" t="s">
        <v>43</v>
      </c>
    </row>
    <row r="99" spans="1:2" x14ac:dyDescent="0.3">
      <c r="A99" t="s">
        <v>175</v>
      </c>
      <c r="B99" t="s">
        <v>43</v>
      </c>
    </row>
    <row r="100" spans="1:2" x14ac:dyDescent="0.3">
      <c r="A100" t="s">
        <v>176</v>
      </c>
      <c r="B100" t="s">
        <v>43</v>
      </c>
    </row>
    <row r="101" spans="1:2" x14ac:dyDescent="0.3">
      <c r="A101" t="s">
        <v>177</v>
      </c>
      <c r="B101" t="s">
        <v>43</v>
      </c>
    </row>
    <row r="102" spans="1:2" x14ac:dyDescent="0.3">
      <c r="A102" t="s">
        <v>178</v>
      </c>
      <c r="B102" t="s">
        <v>43</v>
      </c>
    </row>
    <row r="103" spans="1:2" x14ac:dyDescent="0.3">
      <c r="A103" t="s">
        <v>179</v>
      </c>
      <c r="B103" t="s">
        <v>43</v>
      </c>
    </row>
    <row r="104" spans="1:2" x14ac:dyDescent="0.3">
      <c r="A104" t="s">
        <v>180</v>
      </c>
      <c r="B104" t="s">
        <v>43</v>
      </c>
    </row>
    <row r="105" spans="1:2" x14ac:dyDescent="0.3">
      <c r="A105" t="s">
        <v>181</v>
      </c>
      <c r="B105" t="s">
        <v>43</v>
      </c>
    </row>
    <row r="106" spans="1:2" x14ac:dyDescent="0.3">
      <c r="A106" t="s">
        <v>182</v>
      </c>
      <c r="B106" t="s">
        <v>43</v>
      </c>
    </row>
    <row r="107" spans="1:2" x14ac:dyDescent="0.3">
      <c r="A107" t="s">
        <v>183</v>
      </c>
      <c r="B107" t="s">
        <v>43</v>
      </c>
    </row>
    <row r="108" spans="1:2" x14ac:dyDescent="0.3">
      <c r="A108" t="s">
        <v>184</v>
      </c>
      <c r="B108" t="s">
        <v>43</v>
      </c>
    </row>
    <row r="109" spans="1:2" x14ac:dyDescent="0.3">
      <c r="A109" t="s">
        <v>185</v>
      </c>
      <c r="B109" t="s">
        <v>43</v>
      </c>
    </row>
    <row r="110" spans="1:2" x14ac:dyDescent="0.3">
      <c r="A110" t="s">
        <v>186</v>
      </c>
      <c r="B110" t="s">
        <v>43</v>
      </c>
    </row>
    <row r="111" spans="1:2" x14ac:dyDescent="0.3">
      <c r="A111" t="s">
        <v>187</v>
      </c>
      <c r="B111" t="s">
        <v>43</v>
      </c>
    </row>
    <row r="112" spans="1:2" x14ac:dyDescent="0.3">
      <c r="A112" t="s">
        <v>188</v>
      </c>
      <c r="B112" t="s">
        <v>43</v>
      </c>
    </row>
    <row r="113" spans="1:2" x14ac:dyDescent="0.3">
      <c r="A113" t="s">
        <v>189</v>
      </c>
      <c r="B113" t="s">
        <v>43</v>
      </c>
    </row>
    <row r="114" spans="1:2" x14ac:dyDescent="0.3">
      <c r="A114" t="s">
        <v>190</v>
      </c>
      <c r="B114" t="s">
        <v>43</v>
      </c>
    </row>
    <row r="115" spans="1:2" x14ac:dyDescent="0.3">
      <c r="A115" t="s">
        <v>191</v>
      </c>
      <c r="B115" t="s">
        <v>43</v>
      </c>
    </row>
    <row r="116" spans="1:2" x14ac:dyDescent="0.3">
      <c r="A116" t="s">
        <v>192</v>
      </c>
      <c r="B116" t="s">
        <v>43</v>
      </c>
    </row>
    <row r="117" spans="1:2" x14ac:dyDescent="0.3">
      <c r="A117" t="s">
        <v>193</v>
      </c>
      <c r="B117" t="s">
        <v>43</v>
      </c>
    </row>
    <row r="118" spans="1:2" x14ac:dyDescent="0.3">
      <c r="A118" t="s">
        <v>194</v>
      </c>
      <c r="B118" t="s">
        <v>43</v>
      </c>
    </row>
    <row r="119" spans="1:2" x14ac:dyDescent="0.3">
      <c r="A119" t="s">
        <v>195</v>
      </c>
      <c r="B119" t="s">
        <v>43</v>
      </c>
    </row>
    <row r="120" spans="1:2" x14ac:dyDescent="0.3">
      <c r="A120" t="s">
        <v>196</v>
      </c>
      <c r="B120" t="s">
        <v>43</v>
      </c>
    </row>
    <row r="121" spans="1:2" x14ac:dyDescent="0.3">
      <c r="A121" t="s">
        <v>197</v>
      </c>
      <c r="B121" t="s">
        <v>43</v>
      </c>
    </row>
    <row r="122" spans="1:2" x14ac:dyDescent="0.3">
      <c r="A122" t="s">
        <v>198</v>
      </c>
      <c r="B122" t="s">
        <v>43</v>
      </c>
    </row>
    <row r="123" spans="1:2" x14ac:dyDescent="0.3">
      <c r="A123" t="s">
        <v>199</v>
      </c>
      <c r="B123" t="s">
        <v>43</v>
      </c>
    </row>
    <row r="124" spans="1:2" x14ac:dyDescent="0.3">
      <c r="A124" t="s">
        <v>200</v>
      </c>
      <c r="B124" t="s">
        <v>43</v>
      </c>
    </row>
    <row r="125" spans="1:2" x14ac:dyDescent="0.3">
      <c r="A125" t="s">
        <v>201</v>
      </c>
      <c r="B125" t="s">
        <v>43</v>
      </c>
    </row>
    <row r="126" spans="1:2" x14ac:dyDescent="0.3">
      <c r="A126" t="s">
        <v>202</v>
      </c>
      <c r="B126" t="s">
        <v>43</v>
      </c>
    </row>
    <row r="127" spans="1:2" x14ac:dyDescent="0.3">
      <c r="A127" t="s">
        <v>203</v>
      </c>
      <c r="B127" t="s">
        <v>43</v>
      </c>
    </row>
    <row r="128" spans="1:2" x14ac:dyDescent="0.3">
      <c r="A128" t="s">
        <v>204</v>
      </c>
      <c r="B128" t="s">
        <v>43</v>
      </c>
    </row>
    <row r="129" spans="1:2" x14ac:dyDescent="0.3">
      <c r="A129" t="s">
        <v>205</v>
      </c>
      <c r="B129" t="s">
        <v>43</v>
      </c>
    </row>
    <row r="130" spans="1:2" x14ac:dyDescent="0.3">
      <c r="A130" t="s">
        <v>206</v>
      </c>
      <c r="B130" t="s">
        <v>43</v>
      </c>
    </row>
    <row r="131" spans="1:2" x14ac:dyDescent="0.3">
      <c r="A131" t="s">
        <v>207</v>
      </c>
      <c r="B131" t="s">
        <v>43</v>
      </c>
    </row>
    <row r="132" spans="1:2" x14ac:dyDescent="0.3">
      <c r="A132" t="s">
        <v>208</v>
      </c>
      <c r="B132" t="s">
        <v>43</v>
      </c>
    </row>
    <row r="133" spans="1:2" x14ac:dyDescent="0.3">
      <c r="A133" t="s">
        <v>209</v>
      </c>
      <c r="B133" t="s">
        <v>43</v>
      </c>
    </row>
    <row r="134" spans="1:2" x14ac:dyDescent="0.3">
      <c r="A134" t="s">
        <v>210</v>
      </c>
      <c r="B134" t="s">
        <v>43</v>
      </c>
    </row>
    <row r="135" spans="1:2" x14ac:dyDescent="0.3">
      <c r="A135" t="s">
        <v>211</v>
      </c>
      <c r="B135" t="s">
        <v>43</v>
      </c>
    </row>
    <row r="136" spans="1:2" x14ac:dyDescent="0.3">
      <c r="A136" t="s">
        <v>212</v>
      </c>
      <c r="B136" t="s">
        <v>43</v>
      </c>
    </row>
    <row r="137" spans="1:2" x14ac:dyDescent="0.3">
      <c r="A137" t="s">
        <v>213</v>
      </c>
      <c r="B137" t="s">
        <v>43</v>
      </c>
    </row>
    <row r="138" spans="1:2" x14ac:dyDescent="0.3">
      <c r="A138" t="s">
        <v>214</v>
      </c>
      <c r="B138" t="s">
        <v>43</v>
      </c>
    </row>
    <row r="139" spans="1:2" x14ac:dyDescent="0.3">
      <c r="A139" t="s">
        <v>215</v>
      </c>
      <c r="B139" t="s">
        <v>43</v>
      </c>
    </row>
    <row r="140" spans="1:2" x14ac:dyDescent="0.3">
      <c r="A140" t="s">
        <v>216</v>
      </c>
      <c r="B140" t="s">
        <v>43</v>
      </c>
    </row>
    <row r="141" spans="1:2" x14ac:dyDescent="0.3">
      <c r="A141" t="s">
        <v>217</v>
      </c>
      <c r="B141" t="s">
        <v>43</v>
      </c>
    </row>
    <row r="142" spans="1:2" x14ac:dyDescent="0.3">
      <c r="A142" t="s">
        <v>218</v>
      </c>
      <c r="B142" t="s">
        <v>43</v>
      </c>
    </row>
    <row r="143" spans="1:2" x14ac:dyDescent="0.3">
      <c r="A143" t="s">
        <v>219</v>
      </c>
      <c r="B143" t="s">
        <v>43</v>
      </c>
    </row>
    <row r="144" spans="1:2" x14ac:dyDescent="0.3">
      <c r="A144" t="s">
        <v>220</v>
      </c>
      <c r="B144" t="s">
        <v>43</v>
      </c>
    </row>
    <row r="145" spans="1:2" x14ac:dyDescent="0.3">
      <c r="A145" t="s">
        <v>221</v>
      </c>
      <c r="B145" t="s">
        <v>43</v>
      </c>
    </row>
    <row r="146" spans="1:2" x14ac:dyDescent="0.3">
      <c r="A146" t="s">
        <v>222</v>
      </c>
      <c r="B146" t="s">
        <v>43</v>
      </c>
    </row>
    <row r="147" spans="1:2" x14ac:dyDescent="0.3">
      <c r="A147" t="s">
        <v>223</v>
      </c>
      <c r="B147" t="s">
        <v>43</v>
      </c>
    </row>
    <row r="148" spans="1:2" x14ac:dyDescent="0.3">
      <c r="A148" t="s">
        <v>224</v>
      </c>
      <c r="B148" t="s">
        <v>43</v>
      </c>
    </row>
    <row r="149" spans="1:2" x14ac:dyDescent="0.3">
      <c r="A149" t="s">
        <v>225</v>
      </c>
      <c r="B149" t="s">
        <v>43</v>
      </c>
    </row>
    <row r="150" spans="1:2" x14ac:dyDescent="0.3">
      <c r="A150" t="s">
        <v>226</v>
      </c>
      <c r="B150" t="s">
        <v>43</v>
      </c>
    </row>
    <row r="151" spans="1:2" x14ac:dyDescent="0.3">
      <c r="A151" t="s">
        <v>227</v>
      </c>
      <c r="B151" t="s">
        <v>43</v>
      </c>
    </row>
    <row r="152" spans="1:2" x14ac:dyDescent="0.3">
      <c r="A152" t="s">
        <v>101</v>
      </c>
      <c r="B152" t="s">
        <v>138</v>
      </c>
    </row>
    <row r="153" spans="1:2" x14ac:dyDescent="0.3">
      <c r="A153" t="s">
        <v>102</v>
      </c>
      <c r="B153" t="s">
        <v>138</v>
      </c>
    </row>
    <row r="154" spans="1:2" x14ac:dyDescent="0.3">
      <c r="A154" t="s">
        <v>103</v>
      </c>
      <c r="B154" t="s">
        <v>138</v>
      </c>
    </row>
    <row r="155" spans="1:2" x14ac:dyDescent="0.3">
      <c r="A155" t="s">
        <v>104</v>
      </c>
      <c r="B155" t="s">
        <v>138</v>
      </c>
    </row>
    <row r="156" spans="1:2" x14ac:dyDescent="0.3">
      <c r="A156" t="s">
        <v>105</v>
      </c>
      <c r="B156" t="s">
        <v>138</v>
      </c>
    </row>
    <row r="157" spans="1:2" x14ac:dyDescent="0.3">
      <c r="A157" t="s">
        <v>106</v>
      </c>
      <c r="B157" t="s">
        <v>138</v>
      </c>
    </row>
    <row r="158" spans="1:2" x14ac:dyDescent="0.3">
      <c r="A158" t="s">
        <v>107</v>
      </c>
      <c r="B158" t="s">
        <v>138</v>
      </c>
    </row>
    <row r="159" spans="1:2" x14ac:dyDescent="0.3">
      <c r="A159" t="s">
        <v>108</v>
      </c>
      <c r="B159" t="s">
        <v>138</v>
      </c>
    </row>
    <row r="160" spans="1:2" x14ac:dyDescent="0.3">
      <c r="A160" t="s">
        <v>109</v>
      </c>
      <c r="B160" t="s">
        <v>138</v>
      </c>
    </row>
    <row r="161" spans="1:2" x14ac:dyDescent="0.3">
      <c r="A161" t="s">
        <v>110</v>
      </c>
      <c r="B161" t="s">
        <v>138</v>
      </c>
    </row>
    <row r="162" spans="1:2" x14ac:dyDescent="0.3">
      <c r="A162" t="s">
        <v>111</v>
      </c>
      <c r="B162" t="s">
        <v>138</v>
      </c>
    </row>
    <row r="163" spans="1:2" x14ac:dyDescent="0.3">
      <c r="A163" t="s">
        <v>112</v>
      </c>
      <c r="B163" t="s">
        <v>138</v>
      </c>
    </row>
    <row r="164" spans="1:2" x14ac:dyDescent="0.3">
      <c r="A164" t="s">
        <v>113</v>
      </c>
      <c r="B164" t="s">
        <v>138</v>
      </c>
    </row>
    <row r="165" spans="1:2" x14ac:dyDescent="0.3">
      <c r="A165" t="s">
        <v>114</v>
      </c>
      <c r="B165" t="s">
        <v>138</v>
      </c>
    </row>
    <row r="166" spans="1:2" x14ac:dyDescent="0.3">
      <c r="A166" t="s">
        <v>115</v>
      </c>
      <c r="B166" t="s">
        <v>138</v>
      </c>
    </row>
    <row r="167" spans="1:2" x14ac:dyDescent="0.3">
      <c r="A167" t="s">
        <v>116</v>
      </c>
      <c r="B167" t="s">
        <v>138</v>
      </c>
    </row>
    <row r="168" spans="1:2" x14ac:dyDescent="0.3">
      <c r="A168" t="s">
        <v>117</v>
      </c>
      <c r="B168" t="s">
        <v>138</v>
      </c>
    </row>
    <row r="169" spans="1:2" x14ac:dyDescent="0.3">
      <c r="A169" t="s">
        <v>118</v>
      </c>
      <c r="B169" t="s">
        <v>138</v>
      </c>
    </row>
    <row r="170" spans="1:2" x14ac:dyDescent="0.3">
      <c r="A170" t="s">
        <v>119</v>
      </c>
      <c r="B170" t="s">
        <v>138</v>
      </c>
    </row>
    <row r="171" spans="1:2" x14ac:dyDescent="0.3">
      <c r="A171" t="s">
        <v>120</v>
      </c>
      <c r="B171" t="s">
        <v>138</v>
      </c>
    </row>
    <row r="172" spans="1:2" x14ac:dyDescent="0.3">
      <c r="A172" t="s">
        <v>121</v>
      </c>
      <c r="B172" t="s">
        <v>138</v>
      </c>
    </row>
    <row r="173" spans="1:2" x14ac:dyDescent="0.3">
      <c r="A173" t="s">
        <v>122</v>
      </c>
      <c r="B173" t="s">
        <v>138</v>
      </c>
    </row>
    <row r="174" spans="1:2" x14ac:dyDescent="0.3">
      <c r="A174" t="s">
        <v>123</v>
      </c>
      <c r="B174" t="s">
        <v>138</v>
      </c>
    </row>
    <row r="175" spans="1:2" x14ac:dyDescent="0.3">
      <c r="A175" t="s">
        <v>124</v>
      </c>
      <c r="B175" t="s">
        <v>138</v>
      </c>
    </row>
    <row r="176" spans="1:2" x14ac:dyDescent="0.3">
      <c r="A176" t="s">
        <v>125</v>
      </c>
      <c r="B176" t="s">
        <v>138</v>
      </c>
    </row>
    <row r="177" spans="1:2" x14ac:dyDescent="0.3">
      <c r="A177" t="s">
        <v>126</v>
      </c>
      <c r="B177" t="s">
        <v>138</v>
      </c>
    </row>
    <row r="178" spans="1:2" x14ac:dyDescent="0.3">
      <c r="A178" t="s">
        <v>127</v>
      </c>
      <c r="B178" t="s">
        <v>138</v>
      </c>
    </row>
    <row r="179" spans="1:2" x14ac:dyDescent="0.3">
      <c r="A179" t="s">
        <v>128</v>
      </c>
      <c r="B179" t="s">
        <v>138</v>
      </c>
    </row>
    <row r="180" spans="1:2" x14ac:dyDescent="0.3">
      <c r="A180" t="s">
        <v>129</v>
      </c>
      <c r="B180" t="s">
        <v>138</v>
      </c>
    </row>
    <row r="181" spans="1:2" x14ac:dyDescent="0.3">
      <c r="A181" t="s">
        <v>130</v>
      </c>
      <c r="B181" t="s">
        <v>138</v>
      </c>
    </row>
    <row r="182" spans="1:2" x14ac:dyDescent="0.3">
      <c r="A182" t="s">
        <v>131</v>
      </c>
      <c r="B182" t="s">
        <v>138</v>
      </c>
    </row>
    <row r="183" spans="1:2" x14ac:dyDescent="0.3">
      <c r="A183" t="s">
        <v>132</v>
      </c>
      <c r="B183" t="s">
        <v>138</v>
      </c>
    </row>
    <row r="184" spans="1:2" x14ac:dyDescent="0.3">
      <c r="A184" t="s">
        <v>133</v>
      </c>
      <c r="B184" t="s">
        <v>138</v>
      </c>
    </row>
    <row r="185" spans="1:2" x14ac:dyDescent="0.3">
      <c r="A185" t="s">
        <v>134</v>
      </c>
      <c r="B185" t="s">
        <v>138</v>
      </c>
    </row>
    <row r="186" spans="1:2" x14ac:dyDescent="0.3">
      <c r="A186" t="s">
        <v>135</v>
      </c>
      <c r="B186" t="s">
        <v>138</v>
      </c>
    </row>
    <row r="187" spans="1:2" x14ac:dyDescent="0.3">
      <c r="A187" t="s">
        <v>136</v>
      </c>
      <c r="B187" t="s">
        <v>138</v>
      </c>
    </row>
    <row r="188" spans="1:2" x14ac:dyDescent="0.3">
      <c r="A188" t="s">
        <v>137</v>
      </c>
      <c r="B188" t="s">
        <v>138</v>
      </c>
    </row>
    <row r="189" spans="1:2" x14ac:dyDescent="0.3">
      <c r="A189" t="s">
        <v>238</v>
      </c>
      <c r="B189" t="s">
        <v>138</v>
      </c>
    </row>
    <row r="190" spans="1:2" x14ac:dyDescent="0.3">
      <c r="A190" t="s">
        <v>239</v>
      </c>
      <c r="B190" t="s">
        <v>138</v>
      </c>
    </row>
    <row r="191" spans="1:2" x14ac:dyDescent="0.3">
      <c r="A191" t="s">
        <v>240</v>
      </c>
      <c r="B191" t="s">
        <v>138</v>
      </c>
    </row>
    <row r="192" spans="1:2" x14ac:dyDescent="0.3">
      <c r="A192" t="s">
        <v>241</v>
      </c>
      <c r="B192" t="s">
        <v>138</v>
      </c>
    </row>
    <row r="193" spans="1:2" x14ac:dyDescent="0.3">
      <c r="A193" t="s">
        <v>245</v>
      </c>
      <c r="B193" t="s">
        <v>138</v>
      </c>
    </row>
    <row r="194" spans="1:2" x14ac:dyDescent="0.3">
      <c r="A194" t="s">
        <v>242</v>
      </c>
      <c r="B194" t="s">
        <v>138</v>
      </c>
    </row>
    <row r="195" spans="1:2" x14ac:dyDescent="0.3">
      <c r="A195" t="s">
        <v>243</v>
      </c>
      <c r="B195" t="s">
        <v>138</v>
      </c>
    </row>
    <row r="196" spans="1:2" x14ac:dyDescent="0.3">
      <c r="A196" t="s">
        <v>244</v>
      </c>
      <c r="B196" t="s">
        <v>138</v>
      </c>
    </row>
    <row r="197" spans="1:2" x14ac:dyDescent="0.3">
      <c r="A197" t="s">
        <v>246</v>
      </c>
      <c r="B197" t="s">
        <v>138</v>
      </c>
    </row>
    <row r="198" spans="1:2" x14ac:dyDescent="0.3">
      <c r="A198" t="s">
        <v>247</v>
      </c>
      <c r="B198" t="s">
        <v>138</v>
      </c>
    </row>
    <row r="199" spans="1:2" x14ac:dyDescent="0.3">
      <c r="A199" t="s">
        <v>248</v>
      </c>
      <c r="B199" t="s">
        <v>138</v>
      </c>
    </row>
    <row r="200" spans="1:2" x14ac:dyDescent="0.3">
      <c r="A200" t="s">
        <v>249</v>
      </c>
      <c r="B200" t="s">
        <v>138</v>
      </c>
    </row>
    <row r="201" spans="1:2" x14ac:dyDescent="0.3">
      <c r="A201" t="s">
        <v>253</v>
      </c>
      <c r="B201" t="s">
        <v>43</v>
      </c>
    </row>
    <row r="202" spans="1:2" x14ac:dyDescent="0.3">
      <c r="A202" t="s">
        <v>254</v>
      </c>
      <c r="B202" t="s">
        <v>43</v>
      </c>
    </row>
    <row r="203" spans="1:2" x14ac:dyDescent="0.3">
      <c r="A203" t="s">
        <v>255</v>
      </c>
      <c r="B203" t="s">
        <v>43</v>
      </c>
    </row>
    <row r="204" spans="1:2" x14ac:dyDescent="0.3">
      <c r="A204" t="s">
        <v>256</v>
      </c>
      <c r="B204" t="s">
        <v>43</v>
      </c>
    </row>
    <row r="205" spans="1:2" x14ac:dyDescent="0.3">
      <c r="A205" t="s">
        <v>257</v>
      </c>
      <c r="B205" t="s">
        <v>43</v>
      </c>
    </row>
    <row r="206" spans="1:2" x14ac:dyDescent="0.3">
      <c r="A206" t="s">
        <v>258</v>
      </c>
      <c r="B206" t="s">
        <v>43</v>
      </c>
    </row>
    <row r="207" spans="1:2" x14ac:dyDescent="0.3">
      <c r="A207" t="s">
        <v>259</v>
      </c>
      <c r="B207" t="s">
        <v>43</v>
      </c>
    </row>
    <row r="208" spans="1:2" x14ac:dyDescent="0.3">
      <c r="A208" t="s">
        <v>260</v>
      </c>
      <c r="B208" t="s">
        <v>43</v>
      </c>
    </row>
    <row r="209" spans="1:2" x14ac:dyDescent="0.3">
      <c r="A209" t="s">
        <v>261</v>
      </c>
      <c r="B209" t="s">
        <v>43</v>
      </c>
    </row>
    <row r="210" spans="1:2" x14ac:dyDescent="0.3">
      <c r="A210" t="s">
        <v>262</v>
      </c>
      <c r="B210" t="s">
        <v>43</v>
      </c>
    </row>
    <row r="211" spans="1:2" x14ac:dyDescent="0.3">
      <c r="A211" t="s">
        <v>263</v>
      </c>
      <c r="B211" t="s">
        <v>43</v>
      </c>
    </row>
    <row r="212" spans="1:2" x14ac:dyDescent="0.3">
      <c r="A212" t="s">
        <v>264</v>
      </c>
      <c r="B212" t="s">
        <v>43</v>
      </c>
    </row>
    <row r="213" spans="1:2" x14ac:dyDescent="0.3">
      <c r="A213" t="s">
        <v>265</v>
      </c>
      <c r="B213" t="s">
        <v>43</v>
      </c>
    </row>
    <row r="214" spans="1:2" x14ac:dyDescent="0.3">
      <c r="A214" t="s">
        <v>266</v>
      </c>
      <c r="B214" t="s">
        <v>43</v>
      </c>
    </row>
    <row r="215" spans="1:2" x14ac:dyDescent="0.3">
      <c r="A215" t="s">
        <v>267</v>
      </c>
      <c r="B215" t="s">
        <v>43</v>
      </c>
    </row>
    <row r="216" spans="1:2" x14ac:dyDescent="0.3">
      <c r="A216" t="s">
        <v>268</v>
      </c>
      <c r="B216" t="s">
        <v>43</v>
      </c>
    </row>
    <row r="217" spans="1:2" x14ac:dyDescent="0.3">
      <c r="A217" t="s">
        <v>269</v>
      </c>
      <c r="B217" t="s">
        <v>43</v>
      </c>
    </row>
    <row r="218" spans="1:2" x14ac:dyDescent="0.3">
      <c r="A218" t="s">
        <v>270</v>
      </c>
      <c r="B218" t="s">
        <v>43</v>
      </c>
    </row>
    <row r="219" spans="1:2" x14ac:dyDescent="0.3">
      <c r="A219" t="s">
        <v>271</v>
      </c>
      <c r="B219" t="s">
        <v>43</v>
      </c>
    </row>
    <row r="220" spans="1:2" x14ac:dyDescent="0.3">
      <c r="A220" t="s">
        <v>272</v>
      </c>
      <c r="B220" t="s">
        <v>43</v>
      </c>
    </row>
    <row r="221" spans="1:2" x14ac:dyDescent="0.3">
      <c r="A221" t="s">
        <v>273</v>
      </c>
      <c r="B221" t="s">
        <v>43</v>
      </c>
    </row>
    <row r="222" spans="1:2" x14ac:dyDescent="0.3">
      <c r="A222" t="s">
        <v>274</v>
      </c>
      <c r="B222" t="s">
        <v>43</v>
      </c>
    </row>
    <row r="223" spans="1:2" x14ac:dyDescent="0.3">
      <c r="A223" t="s">
        <v>275</v>
      </c>
      <c r="B223" t="s">
        <v>43</v>
      </c>
    </row>
    <row r="224" spans="1:2" x14ac:dyDescent="0.3">
      <c r="A224" t="s">
        <v>276</v>
      </c>
      <c r="B224" t="s">
        <v>43</v>
      </c>
    </row>
    <row r="225" spans="1:2" x14ac:dyDescent="0.3">
      <c r="A225" t="s">
        <v>277</v>
      </c>
      <c r="B225" t="s">
        <v>43</v>
      </c>
    </row>
    <row r="226" spans="1:2" x14ac:dyDescent="0.3">
      <c r="A226" t="s">
        <v>278</v>
      </c>
      <c r="B226" t="s">
        <v>43</v>
      </c>
    </row>
    <row r="227" spans="1:2" x14ac:dyDescent="0.3">
      <c r="A227" t="s">
        <v>279</v>
      </c>
      <c r="B227" t="s">
        <v>43</v>
      </c>
    </row>
    <row r="228" spans="1:2" x14ac:dyDescent="0.3">
      <c r="A228" t="s">
        <v>280</v>
      </c>
      <c r="B228" t="s">
        <v>43</v>
      </c>
    </row>
    <row r="229" spans="1:2" x14ac:dyDescent="0.3">
      <c r="A229" t="s">
        <v>281</v>
      </c>
      <c r="B229" t="s">
        <v>43</v>
      </c>
    </row>
    <row r="230" spans="1:2" x14ac:dyDescent="0.3">
      <c r="A230" t="s">
        <v>282</v>
      </c>
      <c r="B230" t="s">
        <v>43</v>
      </c>
    </row>
    <row r="231" spans="1:2" x14ac:dyDescent="0.3">
      <c r="A231" t="s">
        <v>283</v>
      </c>
      <c r="B231" t="s">
        <v>43</v>
      </c>
    </row>
    <row r="232" spans="1:2" x14ac:dyDescent="0.3">
      <c r="A232" t="s">
        <v>284</v>
      </c>
      <c r="B232" t="s">
        <v>43</v>
      </c>
    </row>
    <row r="233" spans="1:2" x14ac:dyDescent="0.3">
      <c r="A233" t="s">
        <v>285</v>
      </c>
      <c r="B233" t="s">
        <v>43</v>
      </c>
    </row>
    <row r="234" spans="1:2" x14ac:dyDescent="0.3">
      <c r="A234" t="s">
        <v>286</v>
      </c>
      <c r="B234" t="s">
        <v>43</v>
      </c>
    </row>
    <row r="235" spans="1:2" x14ac:dyDescent="0.3">
      <c r="A235" t="s">
        <v>287</v>
      </c>
      <c r="B235" t="s">
        <v>43</v>
      </c>
    </row>
    <row r="236" spans="1:2" x14ac:dyDescent="0.3">
      <c r="A236" t="s">
        <v>288</v>
      </c>
      <c r="B236" t="s">
        <v>43</v>
      </c>
    </row>
    <row r="237" spans="1:2" x14ac:dyDescent="0.3">
      <c r="A237" t="s">
        <v>289</v>
      </c>
      <c r="B237" t="s">
        <v>43</v>
      </c>
    </row>
    <row r="238" spans="1:2" x14ac:dyDescent="0.3">
      <c r="A238" t="s">
        <v>290</v>
      </c>
      <c r="B238" t="s">
        <v>43</v>
      </c>
    </row>
    <row r="239" spans="1:2" x14ac:dyDescent="0.3">
      <c r="A239" t="s">
        <v>291</v>
      </c>
      <c r="B239" t="s">
        <v>43</v>
      </c>
    </row>
    <row r="240" spans="1:2" x14ac:dyDescent="0.3">
      <c r="A240" t="s">
        <v>292</v>
      </c>
      <c r="B240" t="s">
        <v>43</v>
      </c>
    </row>
    <row r="241" spans="1:2" x14ac:dyDescent="0.3">
      <c r="A241" t="s">
        <v>293</v>
      </c>
      <c r="B241" t="s">
        <v>43</v>
      </c>
    </row>
    <row r="242" spans="1:2" x14ac:dyDescent="0.3">
      <c r="A242" t="s">
        <v>294</v>
      </c>
      <c r="B242" t="s">
        <v>43</v>
      </c>
    </row>
    <row r="243" spans="1:2" x14ac:dyDescent="0.3">
      <c r="A243" t="s">
        <v>295</v>
      </c>
      <c r="B243" t="s">
        <v>43</v>
      </c>
    </row>
    <row r="244" spans="1:2" x14ac:dyDescent="0.3">
      <c r="A244" t="s">
        <v>296</v>
      </c>
      <c r="B244" t="s">
        <v>43</v>
      </c>
    </row>
    <row r="245" spans="1:2" x14ac:dyDescent="0.3">
      <c r="A245" t="s">
        <v>298</v>
      </c>
      <c r="B245" t="s">
        <v>43</v>
      </c>
    </row>
    <row r="246" spans="1:2" x14ac:dyDescent="0.3">
      <c r="A246" t="s">
        <v>299</v>
      </c>
      <c r="B246" t="s">
        <v>43</v>
      </c>
    </row>
    <row r="247" spans="1:2" x14ac:dyDescent="0.3">
      <c r="A247" t="s">
        <v>300</v>
      </c>
      <c r="B247" t="s">
        <v>43</v>
      </c>
    </row>
    <row r="248" spans="1:2" x14ac:dyDescent="0.3">
      <c r="A248" t="s">
        <v>301</v>
      </c>
      <c r="B248" t="s">
        <v>43</v>
      </c>
    </row>
    <row r="249" spans="1:2" x14ac:dyDescent="0.3">
      <c r="A249" t="s">
        <v>302</v>
      </c>
      <c r="B249" t="s">
        <v>43</v>
      </c>
    </row>
    <row r="250" spans="1:2" x14ac:dyDescent="0.3">
      <c r="A250" t="s">
        <v>303</v>
      </c>
      <c r="B250" t="s">
        <v>43</v>
      </c>
    </row>
    <row r="251" spans="1:2" x14ac:dyDescent="0.3">
      <c r="A251" t="s">
        <v>304</v>
      </c>
      <c r="B251" t="s">
        <v>43</v>
      </c>
    </row>
    <row r="252" spans="1:2" x14ac:dyDescent="0.3">
      <c r="A252" t="s">
        <v>305</v>
      </c>
      <c r="B252" t="s">
        <v>43</v>
      </c>
    </row>
    <row r="253" spans="1:2" x14ac:dyDescent="0.3">
      <c r="A253" t="s">
        <v>306</v>
      </c>
      <c r="B253" t="s">
        <v>43</v>
      </c>
    </row>
    <row r="254" spans="1:2" x14ac:dyDescent="0.3">
      <c r="A254" t="s">
        <v>307</v>
      </c>
      <c r="B254" t="s">
        <v>43</v>
      </c>
    </row>
    <row r="255" spans="1:2" x14ac:dyDescent="0.3">
      <c r="A255" t="s">
        <v>308</v>
      </c>
      <c r="B255" t="s">
        <v>43</v>
      </c>
    </row>
    <row r="256" spans="1:2" x14ac:dyDescent="0.3">
      <c r="A256" t="s">
        <v>309</v>
      </c>
      <c r="B256" t="s">
        <v>43</v>
      </c>
    </row>
    <row r="257" spans="1:2" x14ac:dyDescent="0.3">
      <c r="A257" t="s">
        <v>310</v>
      </c>
      <c r="B257" t="s">
        <v>43</v>
      </c>
    </row>
    <row r="258" spans="1:2" x14ac:dyDescent="0.3">
      <c r="A258" t="s">
        <v>311</v>
      </c>
      <c r="B258" t="s">
        <v>43</v>
      </c>
    </row>
    <row r="259" spans="1:2" x14ac:dyDescent="0.3">
      <c r="A259" t="s">
        <v>312</v>
      </c>
      <c r="B259" t="s">
        <v>43</v>
      </c>
    </row>
    <row r="260" spans="1:2" x14ac:dyDescent="0.3">
      <c r="A260" t="s">
        <v>313</v>
      </c>
      <c r="B260" t="s">
        <v>43</v>
      </c>
    </row>
    <row r="261" spans="1:2" x14ac:dyDescent="0.3">
      <c r="A261" t="s">
        <v>314</v>
      </c>
      <c r="B261" t="s">
        <v>43</v>
      </c>
    </row>
  </sheetData>
  <sortState xmlns:xlrd2="http://schemas.microsoft.com/office/spreadsheetml/2017/richdata2" ref="A2:A67">
    <sortCondition ref="A67"/>
  </sortState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99C1-3D7F-49EC-9151-78F1E9FDF972}">
  <sheetPr codeName="Planilha2"/>
  <dimension ref="A1:O1"/>
  <sheetViews>
    <sheetView zoomScaleNormal="100" workbookViewId="0">
      <selection activeCell="N17" sqref="N17"/>
    </sheetView>
  </sheetViews>
  <sheetFormatPr defaultRowHeight="14.4" x14ac:dyDescent="0.3"/>
  <cols>
    <col min="1" max="1" width="10.6640625" bestFit="1" customWidth="1"/>
    <col min="2" max="2" width="17.33203125" bestFit="1" customWidth="1"/>
    <col min="3" max="3" width="10.6640625" bestFit="1" customWidth="1"/>
    <col min="4" max="4" width="13.6640625" bestFit="1" customWidth="1"/>
    <col min="5" max="5" width="11.5546875" bestFit="1" customWidth="1"/>
    <col min="6" max="6" width="14.33203125" bestFit="1" customWidth="1"/>
    <col min="7" max="7" width="10.5546875" bestFit="1" customWidth="1"/>
    <col min="8" max="8" width="9" bestFit="1" customWidth="1"/>
    <col min="9" max="9" width="7.5546875" bestFit="1" customWidth="1"/>
    <col min="10" max="10" width="12" bestFit="1" customWidth="1"/>
    <col min="11" max="11" width="8.21875" bestFit="1" customWidth="1"/>
    <col min="12" max="12" width="9.33203125" bestFit="1" customWidth="1"/>
    <col min="13" max="13" width="4.77734375" bestFit="1" customWidth="1"/>
    <col min="14" max="14" width="4.44140625" bestFit="1" customWidth="1"/>
    <col min="15" max="15" width="7.109375" bestFit="1" customWidth="1"/>
  </cols>
  <sheetData>
    <row r="1" spans="1:15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s="3" t="s">
        <v>36</v>
      </c>
      <c r="I1" t="s">
        <v>37</v>
      </c>
      <c r="J1" s="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315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F34E1-E302-400A-BFA6-3404DD0F36A9}">
  <sheetPr codeName="Planilha3"/>
  <dimension ref="A1:U14"/>
  <sheetViews>
    <sheetView tabSelected="1" zoomScaleNormal="100" workbookViewId="0">
      <selection activeCell="F10" sqref="F10"/>
    </sheetView>
  </sheetViews>
  <sheetFormatPr defaultColWidth="0" defaultRowHeight="22.05" customHeight="1" x14ac:dyDescent="0.3"/>
  <cols>
    <col min="1" max="1" width="2.33203125" style="83" customWidth="1"/>
    <col min="2" max="2" width="1.88671875" style="83" customWidth="1"/>
    <col min="3" max="4" width="19" style="83" customWidth="1"/>
    <col min="5" max="5" width="13.109375" style="83" bestFit="1" customWidth="1"/>
    <col min="6" max="6" width="15.44140625" style="84" customWidth="1"/>
    <col min="7" max="7" width="13.44140625" style="83" customWidth="1"/>
    <col min="8" max="8" width="16.109375" style="83" customWidth="1"/>
    <col min="9" max="9" width="13.109375" style="84" bestFit="1" customWidth="1"/>
    <col min="10" max="10" width="13.109375" style="85" bestFit="1" customWidth="1"/>
    <col min="11" max="11" width="20.6640625" style="83" bestFit="1" customWidth="1"/>
    <col min="12" max="12" width="17.6640625" style="86" bestFit="1" customWidth="1"/>
    <col min="13" max="13" width="15.88671875" style="83" bestFit="1" customWidth="1"/>
    <col min="14" max="14" width="11.21875" style="83" bestFit="1" customWidth="1"/>
    <col min="15" max="15" width="12.5546875" style="83" bestFit="1" customWidth="1"/>
    <col min="16" max="16" width="5.5546875" style="83" bestFit="1" customWidth="1"/>
    <col min="17" max="17" width="11" style="83" bestFit="1" customWidth="1"/>
    <col min="18" max="18" width="5.6640625" style="83" customWidth="1"/>
    <col min="19" max="21" width="11.21875" style="83" hidden="1" customWidth="1"/>
    <col min="22" max="16384" width="8.88671875" style="83" hidden="1"/>
  </cols>
  <sheetData>
    <row r="1" spans="2:17" s="130" customFormat="1" ht="33.6" customHeight="1" x14ac:dyDescent="0.3">
      <c r="F1" s="131"/>
      <c r="I1" s="131"/>
      <c r="J1" s="132"/>
      <c r="L1" s="133"/>
    </row>
    <row r="2" spans="2:17" s="130" customFormat="1" ht="27" customHeight="1" x14ac:dyDescent="0.3">
      <c r="B2" s="134"/>
      <c r="C2" s="135"/>
      <c r="D2" s="135"/>
      <c r="E2" s="135"/>
      <c r="F2" s="136"/>
      <c r="G2" s="135"/>
      <c r="H2" s="135"/>
      <c r="I2" s="136"/>
      <c r="J2" s="137"/>
      <c r="K2" s="135"/>
      <c r="L2" s="138"/>
      <c r="M2" s="135"/>
      <c r="N2" s="135"/>
      <c r="O2" s="135"/>
      <c r="P2" s="135"/>
      <c r="Q2" s="135"/>
    </row>
    <row r="3" spans="2:17" customFormat="1" ht="21.6" customHeight="1" x14ac:dyDescent="0.3">
      <c r="B3" s="102"/>
      <c r="C3" s="83"/>
      <c r="D3" s="83"/>
      <c r="E3" s="83"/>
      <c r="F3" s="84"/>
      <c r="G3" s="83"/>
      <c r="H3" s="83"/>
      <c r="I3" s="84"/>
      <c r="J3" s="85"/>
      <c r="K3" s="83"/>
      <c r="L3" s="86"/>
      <c r="M3" s="83"/>
      <c r="N3" s="83"/>
      <c r="O3" s="83"/>
      <c r="P3" s="83"/>
      <c r="Q3" s="83"/>
    </row>
    <row r="4" spans="2:17" customFormat="1" ht="22.05" customHeight="1" x14ac:dyDescent="0.3">
      <c r="B4" s="101"/>
      <c r="C4" s="87" t="s">
        <v>29</v>
      </c>
      <c r="D4" s="87" t="s">
        <v>30</v>
      </c>
      <c r="E4" s="87" t="s">
        <v>31</v>
      </c>
      <c r="F4" s="88" t="s">
        <v>32</v>
      </c>
      <c r="G4" s="87" t="s">
        <v>33</v>
      </c>
      <c r="H4" s="87" t="s">
        <v>34</v>
      </c>
      <c r="I4" s="88" t="s">
        <v>35</v>
      </c>
      <c r="J4" s="89" t="s">
        <v>36</v>
      </c>
      <c r="K4" s="87" t="s">
        <v>37</v>
      </c>
      <c r="L4" s="90" t="s">
        <v>38</v>
      </c>
      <c r="M4" s="87" t="s">
        <v>39</v>
      </c>
      <c r="N4" s="87" t="s">
        <v>40</v>
      </c>
      <c r="O4" s="87" t="s">
        <v>41</v>
      </c>
      <c r="P4" s="87" t="s">
        <v>42</v>
      </c>
      <c r="Q4" s="87" t="s">
        <v>315</v>
      </c>
    </row>
    <row r="5" spans="2:17" ht="22.05" customHeight="1" x14ac:dyDescent="0.3">
      <c r="C5" s="91"/>
      <c r="D5" s="104"/>
      <c r="E5" s="147"/>
      <c r="F5" s="92"/>
      <c r="G5" s="91"/>
      <c r="H5" s="93"/>
      <c r="I5" s="148"/>
      <c r="J5" s="148"/>
      <c r="K5" s="95"/>
      <c r="L5" s="94"/>
      <c r="M5" s="94"/>
      <c r="N5" s="93"/>
      <c r="O5" s="93"/>
      <c r="P5" s="93"/>
      <c r="Q5" s="91"/>
    </row>
    <row r="6" spans="2:17" ht="22.05" customHeight="1" x14ac:dyDescent="0.3">
      <c r="C6" s="97"/>
      <c r="D6" s="96"/>
      <c r="E6" s="96"/>
      <c r="F6" s="96"/>
      <c r="G6" s="96"/>
      <c r="H6" s="99"/>
      <c r="I6" s="100"/>
      <c r="J6" s="96"/>
      <c r="K6" s="98"/>
      <c r="L6" s="96"/>
      <c r="M6" s="96"/>
      <c r="N6" s="96"/>
      <c r="O6" s="96"/>
      <c r="P6" s="96"/>
    </row>
    <row r="7" spans="2:17" ht="22.05" customHeight="1" x14ac:dyDescent="0.3">
      <c r="C7" s="96"/>
      <c r="D7" s="103"/>
      <c r="E7" s="96"/>
      <c r="F7" s="96"/>
      <c r="G7" s="96"/>
      <c r="H7" s="99"/>
      <c r="I7" s="100"/>
      <c r="J7" s="96"/>
      <c r="K7" s="98"/>
      <c r="L7" s="96"/>
      <c r="M7" s="96"/>
      <c r="N7" s="96"/>
      <c r="O7" s="96"/>
      <c r="P7" s="96"/>
    </row>
    <row r="8" spans="2:17" ht="22.05" customHeight="1" x14ac:dyDescent="0.3">
      <c r="C8"/>
      <c r="D8"/>
      <c r="E8"/>
      <c r="F8" s="2"/>
      <c r="G8"/>
      <c r="H8"/>
      <c r="I8" s="2"/>
      <c r="J8" s="3"/>
      <c r="K8"/>
      <c r="L8" s="1"/>
      <c r="M8"/>
      <c r="N8"/>
      <c r="O8"/>
      <c r="P8"/>
      <c r="Q8"/>
    </row>
    <row r="9" spans="2:17" ht="22.05" customHeight="1" x14ac:dyDescent="0.3">
      <c r="F9" s="83"/>
      <c r="I9" s="83"/>
      <c r="J9" s="83"/>
      <c r="L9" s="83"/>
    </row>
    <row r="10" spans="2:17" ht="22.05" customHeight="1" x14ac:dyDescent="0.3">
      <c r="F10" s="83"/>
      <c r="I10" s="83"/>
      <c r="J10" s="83"/>
      <c r="L10" s="83"/>
    </row>
    <row r="13" spans="2:17" ht="22.05" customHeight="1" x14ac:dyDescent="0.3">
      <c r="F13" s="83"/>
      <c r="I13" s="83"/>
      <c r="J13" s="83"/>
      <c r="L13" s="83"/>
    </row>
    <row r="14" spans="2:17" ht="22.05" customHeight="1" x14ac:dyDescent="0.3">
      <c r="F14" s="83"/>
      <c r="I14" s="83"/>
      <c r="J14" s="83"/>
      <c r="L14" s="83"/>
    </row>
  </sheetData>
  <sheetProtection selectLockedCells="1"/>
  <phoneticPr fontId="3" type="noConversion"/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726E7-E20C-4625-B7D0-234C832754B6}">
  <sheetPr codeName="Planilha7"/>
  <dimension ref="A1:G21"/>
  <sheetViews>
    <sheetView showGridLines="0" showRowColHeaders="0" zoomScale="110" zoomScaleNormal="110" workbookViewId="0"/>
  </sheetViews>
  <sheetFormatPr defaultRowHeight="14.4" x14ac:dyDescent="0.3"/>
  <cols>
    <col min="1" max="1" width="16.88671875" bestFit="1" customWidth="1"/>
    <col min="2" max="2" width="14.21875" bestFit="1" customWidth="1"/>
    <col min="3" max="3" width="14.6640625" bestFit="1" customWidth="1"/>
    <col min="4" max="4" width="11.5546875" bestFit="1" customWidth="1"/>
    <col min="5" max="5" width="9.33203125" bestFit="1" customWidth="1"/>
    <col min="6" max="6" width="5.88671875" bestFit="1" customWidth="1"/>
    <col min="7" max="7" width="19.44140625" bestFit="1" customWidth="1"/>
  </cols>
  <sheetData>
    <row r="1" spans="1:7" s="130" customFormat="1" ht="61.8" customHeight="1" x14ac:dyDescent="0.3"/>
    <row r="4" spans="1:7" x14ac:dyDescent="0.3">
      <c r="A4" t="s">
        <v>228</v>
      </c>
      <c r="B4" t="s">
        <v>229</v>
      </c>
      <c r="G4" t="s">
        <v>252</v>
      </c>
    </row>
    <row r="5" spans="1:7" x14ac:dyDescent="0.3">
      <c r="F5" t="s">
        <v>237</v>
      </c>
      <c r="G5" s="105">
        <v>2110</v>
      </c>
    </row>
    <row r="6" spans="1:7" x14ac:dyDescent="0.3">
      <c r="A6" t="s">
        <v>230</v>
      </c>
      <c r="B6" t="s">
        <v>231</v>
      </c>
      <c r="F6" t="s">
        <v>251</v>
      </c>
      <c r="G6" s="105">
        <v>460</v>
      </c>
    </row>
    <row r="7" spans="1:7" x14ac:dyDescent="0.3">
      <c r="A7" t="s">
        <v>43</v>
      </c>
      <c r="B7" s="105">
        <v>2400</v>
      </c>
      <c r="F7" t="s">
        <v>250</v>
      </c>
      <c r="G7" s="105">
        <v>0</v>
      </c>
    </row>
    <row r="8" spans="1:7" x14ac:dyDescent="0.3">
      <c r="A8" t="s">
        <v>138</v>
      </c>
      <c r="B8" s="105">
        <v>450</v>
      </c>
    </row>
    <row r="9" spans="1:7" x14ac:dyDescent="0.3">
      <c r="A9" t="s">
        <v>232</v>
      </c>
      <c r="B9" s="105">
        <v>3000</v>
      </c>
    </row>
    <row r="12" spans="1:7" x14ac:dyDescent="0.3">
      <c r="A12" t="s">
        <v>233</v>
      </c>
      <c r="B12" t="s">
        <v>234</v>
      </c>
      <c r="C12" t="s">
        <v>235</v>
      </c>
      <c r="D12" t="s">
        <v>230</v>
      </c>
      <c r="E12" t="s">
        <v>236</v>
      </c>
    </row>
    <row r="13" spans="1:7" x14ac:dyDescent="0.3">
      <c r="A13" t="s">
        <v>4</v>
      </c>
      <c r="B13" s="105">
        <v>1100</v>
      </c>
      <c r="C13" s="3">
        <v>45935</v>
      </c>
      <c r="D13" t="s">
        <v>43</v>
      </c>
      <c r="E13" t="s">
        <v>237</v>
      </c>
    </row>
    <row r="14" spans="1:7" x14ac:dyDescent="0.3">
      <c r="A14" t="s">
        <v>239</v>
      </c>
      <c r="B14" s="105">
        <v>30</v>
      </c>
      <c r="C14" s="3">
        <v>45945</v>
      </c>
      <c r="D14" t="s">
        <v>138</v>
      </c>
      <c r="E14" t="s">
        <v>237</v>
      </c>
    </row>
    <row r="15" spans="1:7" x14ac:dyDescent="0.3">
      <c r="A15" t="s">
        <v>238</v>
      </c>
      <c r="B15" s="105">
        <v>80</v>
      </c>
      <c r="C15" s="3">
        <v>45945</v>
      </c>
      <c r="D15" t="s">
        <v>138</v>
      </c>
      <c r="E15" t="s">
        <v>237</v>
      </c>
    </row>
    <row r="16" spans="1:7" x14ac:dyDescent="0.3">
      <c r="A16" t="s">
        <v>6</v>
      </c>
      <c r="B16" s="105">
        <v>900</v>
      </c>
      <c r="C16" s="3">
        <v>45950</v>
      </c>
      <c r="D16" t="s">
        <v>43</v>
      </c>
      <c r="E16" t="s">
        <v>237</v>
      </c>
    </row>
    <row r="17" spans="1:5" x14ac:dyDescent="0.3">
      <c r="A17" t="s">
        <v>3</v>
      </c>
      <c r="B17" s="105">
        <v>200</v>
      </c>
      <c r="C17" s="3">
        <v>45960</v>
      </c>
      <c r="D17" t="s">
        <v>43</v>
      </c>
      <c r="E17" t="s">
        <v>251</v>
      </c>
    </row>
    <row r="18" spans="1:5" x14ac:dyDescent="0.3">
      <c r="A18" t="s">
        <v>57</v>
      </c>
      <c r="B18" s="105">
        <v>260</v>
      </c>
      <c r="C18" s="3">
        <v>45960</v>
      </c>
      <c r="D18" t="s">
        <v>43</v>
      </c>
      <c r="E18" t="s">
        <v>251</v>
      </c>
    </row>
    <row r="21" spans="1:5" x14ac:dyDescent="0.3">
      <c r="B21" s="105"/>
    </row>
  </sheetData>
  <sortState xmlns:xlrd2="http://schemas.microsoft.com/office/spreadsheetml/2017/richdata2" ref="A13:E18">
    <sortCondition ref="E13:E18" customList="Alta,Média,Baixa"/>
    <sortCondition ref="C13:C18"/>
  </sortState>
  <conditionalFormatting sqref="E13:E18">
    <cfRule type="containsText" dxfId="10" priority="1" stopIfTrue="1" operator="containsText" text="Alta">
      <formula>NOT(ISERROR(SEARCH("Alta",E13)))</formula>
    </cfRule>
    <cfRule type="containsText" dxfId="9" priority="2" stopIfTrue="1" operator="containsText" text="Média">
      <formula>NOT(ISERROR(SEARCH("Média",E13)))</formula>
    </cfRule>
    <cfRule type="containsText" dxfId="8" priority="3" stopIfTrue="1" operator="containsText" text="Baixa">
      <formula>NOT(ISERROR(SEARCH("Baixa",E13)))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80974-7779-49A7-80A0-BE7FFC9263A5}">
  <sheetPr codeName="Planilha4"/>
  <dimension ref="B1:T31"/>
  <sheetViews>
    <sheetView showGridLines="0" showRowColHeaders="0" zoomScale="110" zoomScaleNormal="110" workbookViewId="0">
      <selection activeCell="K9" sqref="K9"/>
    </sheetView>
  </sheetViews>
  <sheetFormatPr defaultRowHeight="14.4" x14ac:dyDescent="0.3"/>
  <cols>
    <col min="1" max="1" width="9.5546875" customWidth="1"/>
    <col min="2" max="2" width="9.77734375" bestFit="1" customWidth="1"/>
    <col min="3" max="3" width="10.5546875" bestFit="1" customWidth="1"/>
    <col min="4" max="4" width="9.77734375" bestFit="1" customWidth="1"/>
    <col min="5" max="5" width="9.5546875" customWidth="1"/>
    <col min="6" max="7" width="12.109375" customWidth="1"/>
    <col min="8" max="8" width="13.44140625" bestFit="1" customWidth="1"/>
    <col min="10" max="10" width="19.88671875" bestFit="1" customWidth="1"/>
    <col min="11" max="11" width="16.6640625" bestFit="1" customWidth="1"/>
    <col min="12" max="12" width="16.21875" bestFit="1" customWidth="1"/>
    <col min="13" max="13" width="15.109375" bestFit="1" customWidth="1"/>
    <col min="14" max="14" width="9.33203125" bestFit="1" customWidth="1"/>
    <col min="15" max="15" width="11.33203125" customWidth="1"/>
    <col min="17" max="17" width="17.6640625" bestFit="1" customWidth="1"/>
    <col min="18" max="19" width="10.88671875" bestFit="1" customWidth="1"/>
    <col min="20" max="20" width="11.109375" bestFit="1" customWidth="1"/>
  </cols>
  <sheetData>
    <row r="1" spans="2:20" s="107" customFormat="1" ht="19.2" customHeight="1" x14ac:dyDescent="0.3"/>
    <row r="2" spans="2:20" s="107" customFormat="1" ht="37.799999999999997" customHeight="1" x14ac:dyDescent="0.3"/>
    <row r="3" spans="2:20" ht="16.2" customHeight="1" thickBot="1" x14ac:dyDescent="0.35">
      <c r="K3" s="82">
        <f>SUM(K5:K6)</f>
        <v>3167.49</v>
      </c>
    </row>
    <row r="4" spans="2:20" ht="27" customHeight="1" x14ac:dyDescent="0.3">
      <c r="B4" s="149" t="s">
        <v>7</v>
      </c>
      <c r="C4" s="150"/>
      <c r="D4" s="150"/>
      <c r="E4" s="151"/>
      <c r="F4" s="150"/>
      <c r="G4" s="150"/>
      <c r="H4" s="152"/>
      <c r="J4" s="4"/>
      <c r="K4" s="4"/>
      <c r="L4" s="4"/>
      <c r="O4" s="5"/>
    </row>
    <row r="5" spans="2:20" ht="15.6" x14ac:dyDescent="0.3">
      <c r="B5" s="129">
        <v>0.2</v>
      </c>
      <c r="C5" s="129">
        <v>0.1</v>
      </c>
      <c r="D5" s="129">
        <v>0.2</v>
      </c>
      <c r="E5" s="129">
        <v>0.2</v>
      </c>
      <c r="F5" s="129">
        <v>0.15</v>
      </c>
      <c r="G5" s="129">
        <v>0.05</v>
      </c>
      <c r="H5" s="129">
        <v>0.1</v>
      </c>
      <c r="I5" s="4"/>
      <c r="J5" s="108" t="s">
        <v>8</v>
      </c>
      <c r="K5" s="106">
        <v>167.49</v>
      </c>
      <c r="L5" s="7"/>
      <c r="M5" s="7"/>
    </row>
    <row r="6" spans="2:20" ht="15.6" x14ac:dyDescent="0.3">
      <c r="B6" s="110" t="s">
        <v>9</v>
      </c>
      <c r="C6" s="111" t="s">
        <v>10</v>
      </c>
      <c r="D6" s="112" t="s">
        <v>11</v>
      </c>
      <c r="E6" s="113" t="s">
        <v>12</v>
      </c>
      <c r="F6" s="114" t="s">
        <v>13</v>
      </c>
      <c r="G6" s="141" t="s">
        <v>297</v>
      </c>
      <c r="H6" s="115" t="s">
        <v>14</v>
      </c>
      <c r="I6" s="4"/>
      <c r="J6" s="108" t="s">
        <v>15</v>
      </c>
      <c r="K6" s="6">
        <f>ResumoFinanceiro!B9</f>
        <v>3000</v>
      </c>
      <c r="L6" s="7"/>
      <c r="M6" s="7"/>
    </row>
    <row r="7" spans="2:20" ht="15.6" x14ac:dyDescent="0.3">
      <c r="B7" s="116"/>
      <c r="C7" s="117"/>
      <c r="D7" s="118"/>
      <c r="E7" s="119"/>
      <c r="F7" s="120"/>
      <c r="G7" s="142"/>
      <c r="H7" s="121"/>
      <c r="I7" s="4"/>
      <c r="J7" s="8"/>
      <c r="K7" s="7"/>
      <c r="L7" s="7"/>
      <c r="M7" s="7"/>
      <c r="P7" s="153"/>
      <c r="Q7" s="153"/>
      <c r="R7" s="1"/>
      <c r="S7" s="1"/>
    </row>
    <row r="8" spans="2:20" ht="15.6" x14ac:dyDescent="0.3">
      <c r="B8" s="116"/>
      <c r="C8" s="117"/>
      <c r="D8" s="118"/>
      <c r="E8" s="119"/>
      <c r="F8" s="120"/>
      <c r="G8" s="142"/>
      <c r="H8" s="121"/>
      <c r="I8" s="4"/>
      <c r="J8" s="9"/>
      <c r="K8" s="108" t="s">
        <v>16</v>
      </c>
      <c r="L8" s="108" t="s">
        <v>17</v>
      </c>
      <c r="M8" s="108" t="s">
        <v>18</v>
      </c>
      <c r="N8" s="139"/>
      <c r="O8" s="139"/>
      <c r="P8" s="10"/>
      <c r="Q8" s="140"/>
      <c r="R8" s="4"/>
      <c r="S8" s="4"/>
      <c r="T8" s="4"/>
    </row>
    <row r="9" spans="2:20" ht="15.6" x14ac:dyDescent="0.3">
      <c r="B9" s="116"/>
      <c r="C9" s="117"/>
      <c r="D9" s="118"/>
      <c r="E9" s="119"/>
      <c r="F9" s="120"/>
      <c r="G9" s="142"/>
      <c r="H9" s="121"/>
      <c r="I9" s="4"/>
      <c r="J9" s="108" t="s">
        <v>9</v>
      </c>
      <c r="K9" s="146">
        <v>0</v>
      </c>
      <c r="L9" s="11">
        <f>B5</f>
        <v>0.2</v>
      </c>
      <c r="M9" s="6">
        <f t="shared" ref="M9:M15" si="0">IF(ISERR(N9/SUM($N$9:$N$15)*$K$6), 0, N9/SUM($N$9:$N$15)*$K$6)</f>
        <v>612.30336397727228</v>
      </c>
      <c r="N9" s="12" cm="1">
        <f t="array" ref="N9">_xlfn.IFS(O9&gt;=0, O9, O9&lt;0,0)</f>
        <v>633.49800000000005</v>
      </c>
      <c r="O9" s="13">
        <f>($L9*($K$5+$K$6)) - ($K9*$K$5)</f>
        <v>633.49800000000005</v>
      </c>
      <c r="P9" s="10"/>
      <c r="Q9" s="140"/>
      <c r="R9" s="4"/>
      <c r="S9" s="4"/>
      <c r="T9" s="4"/>
    </row>
    <row r="10" spans="2:20" ht="15.6" x14ac:dyDescent="0.3">
      <c r="B10" s="116"/>
      <c r="C10" s="117"/>
      <c r="D10" s="118"/>
      <c r="E10" s="119"/>
      <c r="F10" s="120"/>
      <c r="G10" s="142"/>
      <c r="H10" s="121"/>
      <c r="I10" s="4"/>
      <c r="J10" s="108" t="s">
        <v>10</v>
      </c>
      <c r="K10" s="146">
        <v>0</v>
      </c>
      <c r="L10" s="11">
        <f>C5</f>
        <v>0.1</v>
      </c>
      <c r="M10" s="6">
        <f t="shared" si="0"/>
        <v>306.15168198863614</v>
      </c>
      <c r="N10" s="12" cm="1">
        <f t="array" ref="N10">_xlfn.IFS(O10&gt;=0, O10, O10&lt;0,0)</f>
        <v>316.74900000000002</v>
      </c>
      <c r="O10" s="13">
        <f t="shared" ref="O10:O12" si="1">($L10*$K$5 - $K10*$K$5) + ($L10*$K$6)</f>
        <v>316.74900000000002</v>
      </c>
      <c r="P10" s="10"/>
      <c r="Q10" s="140"/>
      <c r="R10" s="4"/>
      <c r="S10" s="4"/>
      <c r="T10" s="4"/>
    </row>
    <row r="11" spans="2:20" ht="15.6" x14ac:dyDescent="0.3">
      <c r="B11" s="116"/>
      <c r="C11" s="117"/>
      <c r="D11" s="118"/>
      <c r="E11" s="119"/>
      <c r="F11" s="120"/>
      <c r="G11" s="142"/>
      <c r="H11" s="121"/>
      <c r="I11" s="4"/>
      <c r="J11" s="108" t="s">
        <v>11</v>
      </c>
      <c r="K11" s="146">
        <v>0</v>
      </c>
      <c r="L11" s="11">
        <f>D5</f>
        <v>0.2</v>
      </c>
      <c r="M11" s="6">
        <f t="shared" si="0"/>
        <v>612.30336397727228</v>
      </c>
      <c r="N11" s="12" cm="1">
        <f t="array" ref="N11">_xlfn.IFS(O11&gt;=0, O11, O11&lt;0,0)</f>
        <v>633.49800000000005</v>
      </c>
      <c r="O11" s="13">
        <f t="shared" si="1"/>
        <v>633.49800000000005</v>
      </c>
      <c r="P11" s="139"/>
      <c r="Q11" s="140"/>
      <c r="R11" s="4"/>
      <c r="S11" s="4"/>
      <c r="T11" s="4"/>
    </row>
    <row r="12" spans="2:20" ht="15.6" x14ac:dyDescent="0.3">
      <c r="B12" s="116"/>
      <c r="C12" s="122"/>
      <c r="D12" s="118"/>
      <c r="E12" s="119"/>
      <c r="F12" s="120"/>
      <c r="G12" s="142"/>
      <c r="H12" s="121"/>
      <c r="I12" s="4"/>
      <c r="J12" s="108" t="s">
        <v>12</v>
      </c>
      <c r="K12" s="146">
        <v>0</v>
      </c>
      <c r="L12" s="11">
        <f>E5</f>
        <v>0.2</v>
      </c>
      <c r="M12" s="6">
        <f t="shared" si="0"/>
        <v>612.30336397727228</v>
      </c>
      <c r="N12" s="12" cm="1">
        <f t="array" ref="N12">_xlfn.IFS(O12&gt;=0, O12, O12&lt;0,0)</f>
        <v>633.49800000000005</v>
      </c>
      <c r="O12" s="13">
        <f t="shared" si="1"/>
        <v>633.49800000000005</v>
      </c>
      <c r="P12" s="139"/>
      <c r="Q12" s="140"/>
      <c r="R12" s="4"/>
      <c r="S12" s="4"/>
      <c r="T12" s="4"/>
    </row>
    <row r="13" spans="2:20" ht="15.6" x14ac:dyDescent="0.3">
      <c r="B13" s="116"/>
      <c r="C13" s="122"/>
      <c r="D13" s="118"/>
      <c r="E13" s="123"/>
      <c r="F13" s="120"/>
      <c r="G13" s="142"/>
      <c r="H13" s="121"/>
      <c r="I13" s="4"/>
      <c r="J13" s="108" t="s">
        <v>13</v>
      </c>
      <c r="K13" s="146">
        <v>0.38</v>
      </c>
      <c r="L13" s="11">
        <f>F5</f>
        <v>0.15</v>
      </c>
      <c r="M13" s="6">
        <f t="shared" si="0"/>
        <v>397.71070309659257</v>
      </c>
      <c r="N13" s="12" cm="1">
        <f t="array" ref="N13">_xlfn.IFS(O13&gt;=0, O13, O13&lt;0,0)</f>
        <v>411.47730000000001</v>
      </c>
      <c r="O13" s="13">
        <f>($L13*$K$5 - $K13*$K$5) + ($L13*$K$6)</f>
        <v>411.47730000000001</v>
      </c>
      <c r="P13" s="139"/>
      <c r="Q13" s="140"/>
      <c r="R13" s="4"/>
      <c r="S13" s="4"/>
      <c r="T13" s="4"/>
    </row>
    <row r="14" spans="2:20" ht="15.6" x14ac:dyDescent="0.3">
      <c r="B14" s="116"/>
      <c r="C14" s="117"/>
      <c r="D14" s="117"/>
      <c r="E14" s="124"/>
      <c r="F14" s="122"/>
      <c r="G14" s="143"/>
      <c r="H14" s="121"/>
      <c r="I14" s="4"/>
      <c r="J14" s="145" t="s">
        <v>297</v>
      </c>
      <c r="K14" s="146">
        <v>0</v>
      </c>
      <c r="L14" s="11">
        <f>G5</f>
        <v>0.05</v>
      </c>
      <c r="M14" s="6">
        <f t="shared" si="0"/>
        <v>153.07584099431807</v>
      </c>
      <c r="N14" s="12" cm="1">
        <f t="array" ref="N14">_xlfn.IFS(O14&gt;=0, O14, O14&lt;0,0)</f>
        <v>158.37450000000001</v>
      </c>
      <c r="O14" s="13">
        <f>($L14*$K$5 - $K14*$K$5) + ($L14*$K$6)</f>
        <v>158.37450000000001</v>
      </c>
      <c r="P14" s="139"/>
      <c r="Q14" s="140"/>
      <c r="R14" s="4"/>
      <c r="S14" s="4"/>
      <c r="T14" s="4"/>
    </row>
    <row r="15" spans="2:20" ht="15.6" x14ac:dyDescent="0.3">
      <c r="B15" s="116"/>
      <c r="C15" s="122"/>
      <c r="D15" s="117"/>
      <c r="E15" s="122"/>
      <c r="F15" s="122"/>
      <c r="G15" s="143"/>
      <c r="H15" s="121"/>
      <c r="I15" s="4"/>
      <c r="J15" s="108" t="s">
        <v>14</v>
      </c>
      <c r="K15" s="146">
        <v>0</v>
      </c>
      <c r="L15" s="11">
        <f>H5</f>
        <v>0.1</v>
      </c>
      <c r="M15" s="6">
        <f t="shared" si="0"/>
        <v>306.15168198863614</v>
      </c>
      <c r="N15" s="12" cm="1">
        <f t="array" ref="N15">_xlfn.IFS(O15&gt;=0, O15, O15&lt;0,0)</f>
        <v>316.74900000000002</v>
      </c>
      <c r="O15" s="13">
        <f>($L15*$K$5 - $K15*$K$5) + ($L15*$K$6)</f>
        <v>316.74900000000002</v>
      </c>
      <c r="Q15" s="4"/>
      <c r="R15" s="4"/>
      <c r="S15" s="4"/>
      <c r="T15" s="4"/>
    </row>
    <row r="16" spans="2:20" x14ac:dyDescent="0.3">
      <c r="B16" s="116"/>
      <c r="C16" s="117"/>
      <c r="D16" s="117"/>
      <c r="E16" s="124"/>
      <c r="F16" s="122"/>
      <c r="G16" s="143"/>
      <c r="H16" s="121"/>
      <c r="I16" s="4"/>
      <c r="M16" s="4"/>
      <c r="Q16" s="4"/>
      <c r="R16" s="4"/>
      <c r="S16" s="4"/>
      <c r="T16" s="4"/>
    </row>
    <row r="17" spans="2:20" ht="15.6" x14ac:dyDescent="0.3">
      <c r="B17" s="116"/>
      <c r="C17" s="117"/>
      <c r="D17" s="117"/>
      <c r="E17" s="117"/>
      <c r="F17" s="122"/>
      <c r="G17" s="143"/>
      <c r="H17" s="121"/>
      <c r="I17" s="4"/>
      <c r="K17" s="108" t="s">
        <v>19</v>
      </c>
      <c r="L17" s="108" t="s">
        <v>20</v>
      </c>
      <c r="M17" s="4"/>
      <c r="Q17" s="4"/>
      <c r="R17" s="4"/>
      <c r="S17" s="4"/>
      <c r="T17" s="4"/>
    </row>
    <row r="18" spans="2:20" ht="15.6" x14ac:dyDescent="0.3">
      <c r="B18" s="116"/>
      <c r="C18" s="117"/>
      <c r="D18" s="117"/>
      <c r="E18" s="122"/>
      <c r="F18" s="122"/>
      <c r="G18" s="143"/>
      <c r="H18" s="121"/>
      <c r="I18" s="4"/>
      <c r="J18" s="109" t="s">
        <v>9</v>
      </c>
      <c r="K18" s="14" cm="1">
        <f t="array" ref="K18">IF(J18=B6,SUMPRODUCT(ISTEXT(B7:B22)*1))</f>
        <v>0</v>
      </c>
      <c r="L18" s="15" t="str">
        <f t="shared" ref="L18:L24" si="2">IF($K18=0, "", IF(M9="", "", M9/$K18))</f>
        <v/>
      </c>
      <c r="M18" s="4"/>
      <c r="Q18" s="4"/>
      <c r="R18" s="4"/>
      <c r="S18" s="4"/>
      <c r="T18" s="4"/>
    </row>
    <row r="19" spans="2:20" ht="15.6" x14ac:dyDescent="0.3">
      <c r="B19" s="116"/>
      <c r="C19" s="117"/>
      <c r="D19" s="117"/>
      <c r="E19" s="122"/>
      <c r="F19" s="122"/>
      <c r="G19" s="143"/>
      <c r="H19" s="121"/>
      <c r="I19" s="4"/>
      <c r="J19" s="109" t="s">
        <v>10</v>
      </c>
      <c r="K19" s="14" cm="1">
        <f t="array" ref="K19">IF(J19=C6,SUMPRODUCT(ISTEXT(C7:C22)*1))</f>
        <v>0</v>
      </c>
      <c r="L19" s="15" t="str">
        <f t="shared" si="2"/>
        <v/>
      </c>
      <c r="M19" s="4"/>
      <c r="Q19" s="4"/>
      <c r="R19" s="4"/>
      <c r="S19" s="4"/>
      <c r="T19" s="4"/>
    </row>
    <row r="20" spans="2:20" ht="15.6" x14ac:dyDescent="0.3">
      <c r="B20" s="116"/>
      <c r="C20" s="117"/>
      <c r="D20" s="117"/>
      <c r="E20" s="117"/>
      <c r="F20" s="122"/>
      <c r="G20" s="143"/>
      <c r="H20" s="121"/>
      <c r="I20" s="4"/>
      <c r="J20" s="108" t="s">
        <v>11</v>
      </c>
      <c r="K20" s="14" cm="1">
        <f t="array" ref="K20">IF(J20=D6,SUMPRODUCT(ISTEXT(D7:D22)*1))</f>
        <v>0</v>
      </c>
      <c r="L20" s="15" t="str">
        <f t="shared" si="2"/>
        <v/>
      </c>
      <c r="M20" s="1"/>
      <c r="Q20" s="4"/>
      <c r="R20" s="4"/>
      <c r="S20" s="4"/>
      <c r="T20" s="4"/>
    </row>
    <row r="21" spans="2:20" ht="15.6" x14ac:dyDescent="0.3">
      <c r="B21" s="116"/>
      <c r="C21" s="117"/>
      <c r="D21" s="117"/>
      <c r="E21" s="122"/>
      <c r="F21" s="122"/>
      <c r="G21" s="143"/>
      <c r="H21" s="121"/>
      <c r="I21" s="4"/>
      <c r="J21" s="109" t="s">
        <v>12</v>
      </c>
      <c r="K21" s="14" cm="1">
        <f t="array" ref="K21">IF(J21=E6,SUMPRODUCT(ISTEXT(E7:E22)*1))</f>
        <v>0</v>
      </c>
      <c r="L21" s="15" t="str">
        <f t="shared" si="2"/>
        <v/>
      </c>
      <c r="Q21" s="4"/>
      <c r="R21" s="4"/>
      <c r="S21" s="4"/>
      <c r="T21" s="4"/>
    </row>
    <row r="22" spans="2:20" ht="16.2" thickBot="1" x14ac:dyDescent="0.35">
      <c r="B22" s="125"/>
      <c r="C22" s="126"/>
      <c r="D22" s="126"/>
      <c r="E22" s="126"/>
      <c r="F22" s="127"/>
      <c r="G22" s="144"/>
      <c r="H22" s="128"/>
      <c r="I22" s="4"/>
      <c r="J22" s="109" t="s">
        <v>13</v>
      </c>
      <c r="K22" s="14" cm="1">
        <f t="array" ref="K22">IF(J22=F6,SUMPRODUCT(ISTEXT(F7:F22)*1))</f>
        <v>0</v>
      </c>
      <c r="L22" s="15" t="str">
        <f t="shared" si="2"/>
        <v/>
      </c>
      <c r="Q22" s="4"/>
      <c r="R22" s="4"/>
      <c r="S22" s="4"/>
      <c r="T22" s="4"/>
    </row>
    <row r="23" spans="2:20" ht="15.6" x14ac:dyDescent="0.3">
      <c r="J23" s="109" t="s">
        <v>297</v>
      </c>
      <c r="K23" s="14" cm="1">
        <f t="array" ref="K23">IF(J23=G6,SUMPRODUCT(ISTEXT(G7:G22)*1))</f>
        <v>0</v>
      </c>
      <c r="L23" s="15" t="str">
        <f t="shared" si="2"/>
        <v/>
      </c>
    </row>
    <row r="24" spans="2:20" ht="15.6" x14ac:dyDescent="0.3">
      <c r="J24" s="109" t="s">
        <v>14</v>
      </c>
      <c r="K24" s="14" cm="1">
        <f t="array" ref="K24">IF(J24=H6,SUMPRODUCT(ISTEXT(H7:H22)*1))</f>
        <v>0</v>
      </c>
      <c r="L24" s="15" t="str">
        <f t="shared" si="2"/>
        <v/>
      </c>
    </row>
    <row r="25" spans="2:20" x14ac:dyDescent="0.3">
      <c r="B25" s="16"/>
      <c r="C25" s="16"/>
      <c r="D25" s="16"/>
      <c r="E25" s="16"/>
    </row>
    <row r="26" spans="2:20" x14ac:dyDescent="0.3">
      <c r="B26" s="154"/>
      <c r="C26" s="154"/>
      <c r="D26" s="154"/>
      <c r="E26" s="154"/>
    </row>
    <row r="27" spans="2:20" x14ac:dyDescent="0.3">
      <c r="B27" s="154"/>
      <c r="C27" s="154"/>
      <c r="D27" s="154"/>
      <c r="E27" s="154"/>
    </row>
    <row r="28" spans="2:20" x14ac:dyDescent="0.3">
      <c r="B28" s="154"/>
      <c r="C28" s="154"/>
      <c r="D28" s="154"/>
      <c r="E28" s="154"/>
    </row>
    <row r="29" spans="2:20" x14ac:dyDescent="0.3">
      <c r="B29" s="154"/>
      <c r="C29" s="154"/>
      <c r="D29" s="154"/>
      <c r="E29" s="154"/>
    </row>
    <row r="30" spans="2:20" x14ac:dyDescent="0.3">
      <c r="B30" s="154"/>
      <c r="C30" s="154"/>
      <c r="D30" s="154"/>
      <c r="E30" s="154"/>
    </row>
    <row r="31" spans="2:20" x14ac:dyDescent="0.3">
      <c r="B31" s="154"/>
      <c r="C31" s="154"/>
      <c r="D31" s="154"/>
      <c r="E31" s="154"/>
    </row>
  </sheetData>
  <sheetProtection sheet="1" objects="1" scenarios="1" selectLockedCells="1"/>
  <mergeCells count="14">
    <mergeCell ref="B31:C31"/>
    <mergeCell ref="D31:E31"/>
    <mergeCell ref="B28:C28"/>
    <mergeCell ref="D28:E28"/>
    <mergeCell ref="B29:C29"/>
    <mergeCell ref="D29:E29"/>
    <mergeCell ref="B30:C30"/>
    <mergeCell ref="D30:E30"/>
    <mergeCell ref="B4:H4"/>
    <mergeCell ref="P7:Q7"/>
    <mergeCell ref="B26:C26"/>
    <mergeCell ref="D26:E26"/>
    <mergeCell ref="B27:C27"/>
    <mergeCell ref="D27:E27"/>
  </mergeCells>
  <conditionalFormatting sqref="B7:H22">
    <cfRule type="expression" dxfId="7" priority="5">
      <formula>AND(B7=#REF!, B7&lt;&gt;"")</formula>
    </cfRule>
  </conditionalFormatting>
  <conditionalFormatting sqref="C10:C11">
    <cfRule type="expression" dxfId="6" priority="7">
      <formula>AND(C10=#REF!, C10&lt;&gt;"")</formula>
    </cfRule>
  </conditionalFormatting>
  <conditionalFormatting sqref="D7 F7:G7">
    <cfRule type="expression" dxfId="5" priority="8">
      <formula>AND(D7=#REF!, D7&lt;&gt;"")</formula>
    </cfRule>
  </conditionalFormatting>
  <conditionalFormatting sqref="D12">
    <cfRule type="expression" dxfId="4" priority="9">
      <formula>AND(D12=#REF!, D12&lt;&gt;"")</formula>
    </cfRule>
  </conditionalFormatting>
  <conditionalFormatting sqref="E13">
    <cfRule type="expression" dxfId="3" priority="10">
      <formula>AND(E13=#REF!, E13&lt;&gt;"")</formula>
    </cfRule>
  </conditionalFormatting>
  <conditionalFormatting sqref="H7:H8">
    <cfRule type="expression" dxfId="2" priority="11">
      <formula>AND(H7=#REF!, H7&lt;&gt;"")</formula>
    </cfRule>
  </conditionalFormatting>
  <conditionalFormatting sqref="R7">
    <cfRule type="expression" dxfId="1" priority="6">
      <formula>R7&lt;=M12</formula>
    </cfRule>
  </conditionalFormatting>
  <conditionalFormatting sqref="B5:H5">
    <cfRule type="expression" dxfId="0" priority="1">
      <formula>AND(B5=#REF!, B5&lt;&gt;"")</formula>
    </cfRule>
  </conditionalFormatting>
  <pageMargins left="0.511811024" right="0.511811024" top="0.78740157499999996" bottom="0.78740157499999996" header="0.31496062000000002" footer="0.31496062000000002"/>
  <ignoredErrors>
    <ignoredError sqref="N10:O12 N13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59595-BD26-4581-9487-4B8FC2074051}">
  <sheetPr codeName="Planilha5"/>
  <dimension ref="A1:H61"/>
  <sheetViews>
    <sheetView topLeftCell="A43" workbookViewId="0">
      <selection activeCell="E30" sqref="E30"/>
    </sheetView>
  </sheetViews>
  <sheetFormatPr defaultRowHeight="14.4" x14ac:dyDescent="0.3"/>
  <cols>
    <col min="1" max="1" width="14" bestFit="1" customWidth="1"/>
    <col min="2" max="2" width="16.109375" bestFit="1" customWidth="1"/>
    <col min="3" max="3" width="11.6640625" bestFit="1" customWidth="1"/>
    <col min="4" max="4" width="16.109375" bestFit="1" customWidth="1"/>
    <col min="5" max="5" width="9.88671875" bestFit="1" customWidth="1"/>
    <col min="6" max="6" width="18.109375" bestFit="1" customWidth="1"/>
    <col min="7" max="7" width="16.109375" bestFit="1" customWidth="1"/>
    <col min="8" max="8" width="9.77734375" bestFit="1" customWidth="1"/>
  </cols>
  <sheetData>
    <row r="1" spans="1:7" x14ac:dyDescent="0.3">
      <c r="E1" s="17">
        <f>F1*G1/100</f>
        <v>0.1125</v>
      </c>
      <c r="F1" s="18">
        <v>0.1125</v>
      </c>
      <c r="G1" s="18">
        <v>100</v>
      </c>
    </row>
    <row r="2" spans="1:7" x14ac:dyDescent="0.3">
      <c r="A2" s="19" t="s">
        <v>21</v>
      </c>
      <c r="B2" s="19" t="s">
        <v>20</v>
      </c>
      <c r="C2" s="19" t="s">
        <v>22</v>
      </c>
      <c r="D2" s="19" t="s">
        <v>23</v>
      </c>
      <c r="E2" s="19" t="s">
        <v>24</v>
      </c>
      <c r="F2" s="19" t="s">
        <v>25</v>
      </c>
      <c r="G2" s="19" t="s">
        <v>26</v>
      </c>
    </row>
    <row r="3" spans="1:7" x14ac:dyDescent="0.3">
      <c r="A3" s="20">
        <v>15</v>
      </c>
      <c r="B3" s="21"/>
      <c r="C3" s="21"/>
      <c r="D3" s="22">
        <f t="shared" ref="D3:D26" si="0">B3+C3</f>
        <v>0</v>
      </c>
      <c r="E3" s="23">
        <f>(1 + $E$1)^(1/252) - 1</f>
        <v>4.2314400437692967E-4</v>
      </c>
      <c r="F3" s="22">
        <f>B3*E3</f>
        <v>0</v>
      </c>
      <c r="G3" s="22">
        <f>D3+F3*15</f>
        <v>0</v>
      </c>
    </row>
    <row r="4" spans="1:7" x14ac:dyDescent="0.3">
      <c r="A4" s="20">
        <v>30</v>
      </c>
      <c r="B4" s="21">
        <f t="shared" ref="B4:B26" si="1">G3</f>
        <v>0</v>
      </c>
      <c r="C4" s="21"/>
      <c r="D4" s="22">
        <f t="shared" si="0"/>
        <v>0</v>
      </c>
      <c r="E4" s="23">
        <f t="shared" ref="E4:E26" si="2">(1 + $E$1)^(1/252) - 1</f>
        <v>4.2314400437692967E-4</v>
      </c>
      <c r="F4" s="22">
        <f t="shared" ref="F4:F26" si="3">B4*E4</f>
        <v>0</v>
      </c>
      <c r="G4" s="22">
        <f t="shared" ref="G4:G26" si="4">D4+F4*15</f>
        <v>0</v>
      </c>
    </row>
    <row r="5" spans="1:7" x14ac:dyDescent="0.3">
      <c r="A5" s="24">
        <v>15</v>
      </c>
      <c r="B5" s="25">
        <f t="shared" si="1"/>
        <v>0</v>
      </c>
      <c r="C5" s="25"/>
      <c r="D5" s="26">
        <f t="shared" si="0"/>
        <v>0</v>
      </c>
      <c r="E5" s="27">
        <f t="shared" si="2"/>
        <v>4.2314400437692967E-4</v>
      </c>
      <c r="F5" s="26">
        <f t="shared" si="3"/>
        <v>0</v>
      </c>
      <c r="G5" s="26">
        <f t="shared" si="4"/>
        <v>0</v>
      </c>
    </row>
    <row r="6" spans="1:7" x14ac:dyDescent="0.3">
      <c r="A6" s="24">
        <v>30</v>
      </c>
      <c r="B6" s="25">
        <f t="shared" si="1"/>
        <v>0</v>
      </c>
      <c r="C6" s="25"/>
      <c r="D6" s="26">
        <f t="shared" si="0"/>
        <v>0</v>
      </c>
      <c r="E6" s="27">
        <f t="shared" si="2"/>
        <v>4.2314400437692967E-4</v>
      </c>
      <c r="F6" s="26">
        <f t="shared" si="3"/>
        <v>0</v>
      </c>
      <c r="G6" s="26">
        <f t="shared" si="4"/>
        <v>0</v>
      </c>
    </row>
    <row r="7" spans="1:7" x14ac:dyDescent="0.3">
      <c r="A7" s="28">
        <v>15</v>
      </c>
      <c r="B7" s="29">
        <f t="shared" si="1"/>
        <v>0</v>
      </c>
      <c r="C7" s="29"/>
      <c r="D7" s="30">
        <f t="shared" si="0"/>
        <v>0</v>
      </c>
      <c r="E7" s="31">
        <f t="shared" si="2"/>
        <v>4.2314400437692967E-4</v>
      </c>
      <c r="F7" s="30">
        <f t="shared" si="3"/>
        <v>0</v>
      </c>
      <c r="G7" s="30">
        <f t="shared" si="4"/>
        <v>0</v>
      </c>
    </row>
    <row r="8" spans="1:7" x14ac:dyDescent="0.3">
      <c r="A8" s="28">
        <v>30</v>
      </c>
      <c r="B8" s="29">
        <f t="shared" si="1"/>
        <v>0</v>
      </c>
      <c r="C8" s="29"/>
      <c r="D8" s="30">
        <f t="shared" si="0"/>
        <v>0</v>
      </c>
      <c r="E8" s="31">
        <f t="shared" si="2"/>
        <v>4.2314400437692967E-4</v>
      </c>
      <c r="F8" s="30">
        <f t="shared" si="3"/>
        <v>0</v>
      </c>
      <c r="G8" s="30">
        <f t="shared" si="4"/>
        <v>0</v>
      </c>
    </row>
    <row r="9" spans="1:7" x14ac:dyDescent="0.3">
      <c r="A9" s="32">
        <v>15</v>
      </c>
      <c r="B9" s="33">
        <f t="shared" si="1"/>
        <v>0</v>
      </c>
      <c r="C9" s="33"/>
      <c r="D9" s="34">
        <f t="shared" si="0"/>
        <v>0</v>
      </c>
      <c r="E9" s="35">
        <f t="shared" si="2"/>
        <v>4.2314400437692967E-4</v>
      </c>
      <c r="F9" s="34">
        <f t="shared" si="3"/>
        <v>0</v>
      </c>
      <c r="G9" s="22">
        <f t="shared" si="4"/>
        <v>0</v>
      </c>
    </row>
    <row r="10" spans="1:7" x14ac:dyDescent="0.3">
      <c r="A10" s="32">
        <v>30</v>
      </c>
      <c r="B10" s="33">
        <f t="shared" si="1"/>
        <v>0</v>
      </c>
      <c r="C10" s="33"/>
      <c r="D10" s="34">
        <f t="shared" si="0"/>
        <v>0</v>
      </c>
      <c r="E10" s="35">
        <f t="shared" si="2"/>
        <v>4.2314400437692967E-4</v>
      </c>
      <c r="F10" s="34">
        <f t="shared" si="3"/>
        <v>0</v>
      </c>
      <c r="G10" s="22">
        <f t="shared" si="4"/>
        <v>0</v>
      </c>
    </row>
    <row r="11" spans="1:7" x14ac:dyDescent="0.3">
      <c r="A11" s="36">
        <v>15</v>
      </c>
      <c r="B11" s="37">
        <f t="shared" si="1"/>
        <v>0</v>
      </c>
      <c r="C11" s="37"/>
      <c r="D11" s="38">
        <f t="shared" si="0"/>
        <v>0</v>
      </c>
      <c r="E11" s="39">
        <f t="shared" si="2"/>
        <v>4.2314400437692967E-4</v>
      </c>
      <c r="F11" s="38">
        <f t="shared" si="3"/>
        <v>0</v>
      </c>
      <c r="G11" s="22">
        <f t="shared" si="4"/>
        <v>0</v>
      </c>
    </row>
    <row r="12" spans="1:7" x14ac:dyDescent="0.3">
      <c r="A12" s="36">
        <v>30</v>
      </c>
      <c r="B12" s="37">
        <f t="shared" si="1"/>
        <v>0</v>
      </c>
      <c r="C12" s="37"/>
      <c r="D12" s="38">
        <f t="shared" si="0"/>
        <v>0</v>
      </c>
      <c r="E12" s="39">
        <f t="shared" si="2"/>
        <v>4.2314400437692967E-4</v>
      </c>
      <c r="F12" s="38">
        <f t="shared" si="3"/>
        <v>0</v>
      </c>
      <c r="G12" s="22">
        <f t="shared" si="4"/>
        <v>0</v>
      </c>
    </row>
    <row r="13" spans="1:7" x14ac:dyDescent="0.3">
      <c r="A13" s="40">
        <v>15</v>
      </c>
      <c r="B13" s="41">
        <f t="shared" si="1"/>
        <v>0</v>
      </c>
      <c r="C13" s="41"/>
      <c r="D13" s="42">
        <f t="shared" si="0"/>
        <v>0</v>
      </c>
      <c r="E13" s="43">
        <f t="shared" si="2"/>
        <v>4.2314400437692967E-4</v>
      </c>
      <c r="F13" s="22">
        <f t="shared" si="3"/>
        <v>0</v>
      </c>
      <c r="G13" s="22">
        <f t="shared" si="4"/>
        <v>0</v>
      </c>
    </row>
    <row r="14" spans="1:7" x14ac:dyDescent="0.3">
      <c r="A14" s="40">
        <v>30</v>
      </c>
      <c r="B14" s="41">
        <f t="shared" si="1"/>
        <v>0</v>
      </c>
      <c r="C14" s="41"/>
      <c r="D14" s="42">
        <f t="shared" si="0"/>
        <v>0</v>
      </c>
      <c r="E14" s="43">
        <f t="shared" si="2"/>
        <v>4.2314400437692967E-4</v>
      </c>
      <c r="F14" s="22">
        <f t="shared" si="3"/>
        <v>0</v>
      </c>
      <c r="G14" s="22">
        <f t="shared" si="4"/>
        <v>0</v>
      </c>
    </row>
    <row r="15" spans="1:7" x14ac:dyDescent="0.3">
      <c r="A15" s="44">
        <v>15</v>
      </c>
      <c r="B15" s="45">
        <f t="shared" si="1"/>
        <v>0</v>
      </c>
      <c r="C15" s="45"/>
      <c r="D15" s="46">
        <f t="shared" si="0"/>
        <v>0</v>
      </c>
      <c r="E15" s="47">
        <f t="shared" si="2"/>
        <v>4.2314400437692967E-4</v>
      </c>
      <c r="F15" s="22">
        <f t="shared" si="3"/>
        <v>0</v>
      </c>
      <c r="G15" s="22">
        <f t="shared" si="4"/>
        <v>0</v>
      </c>
    </row>
    <row r="16" spans="1:7" x14ac:dyDescent="0.3">
      <c r="A16" s="48">
        <v>30</v>
      </c>
      <c r="B16" s="45">
        <f t="shared" si="1"/>
        <v>0</v>
      </c>
      <c r="C16" s="45"/>
      <c r="D16" s="46">
        <f t="shared" si="0"/>
        <v>0</v>
      </c>
      <c r="E16" s="47">
        <f t="shared" si="2"/>
        <v>4.2314400437692967E-4</v>
      </c>
      <c r="F16" s="22">
        <f t="shared" si="3"/>
        <v>0</v>
      </c>
      <c r="G16" s="22">
        <f t="shared" si="4"/>
        <v>0</v>
      </c>
    </row>
    <row r="17" spans="1:8" x14ac:dyDescent="0.3">
      <c r="A17" s="49">
        <v>15</v>
      </c>
      <c r="B17" s="50">
        <f t="shared" si="1"/>
        <v>0</v>
      </c>
      <c r="C17" s="50"/>
      <c r="D17" s="51">
        <f t="shared" si="0"/>
        <v>0</v>
      </c>
      <c r="E17" s="52">
        <f t="shared" si="2"/>
        <v>4.2314400437692967E-4</v>
      </c>
      <c r="F17" s="22">
        <f t="shared" si="3"/>
        <v>0</v>
      </c>
      <c r="G17" s="22">
        <f t="shared" si="4"/>
        <v>0</v>
      </c>
    </row>
    <row r="18" spans="1:8" x14ac:dyDescent="0.3">
      <c r="A18" s="53">
        <v>30</v>
      </c>
      <c r="B18" s="50">
        <f t="shared" si="1"/>
        <v>0</v>
      </c>
      <c r="C18" s="50"/>
      <c r="D18" s="51">
        <f t="shared" si="0"/>
        <v>0</v>
      </c>
      <c r="E18" s="52">
        <f t="shared" si="2"/>
        <v>4.2314400437692967E-4</v>
      </c>
      <c r="F18" s="22">
        <f t="shared" si="3"/>
        <v>0</v>
      </c>
      <c r="G18" s="22">
        <f t="shared" si="4"/>
        <v>0</v>
      </c>
    </row>
    <row r="19" spans="1:8" x14ac:dyDescent="0.3">
      <c r="A19" s="54">
        <v>15</v>
      </c>
      <c r="B19" s="55">
        <f t="shared" si="1"/>
        <v>0</v>
      </c>
      <c r="C19" s="55"/>
      <c r="D19" s="56">
        <f t="shared" si="0"/>
        <v>0</v>
      </c>
      <c r="E19" s="57">
        <f t="shared" si="2"/>
        <v>4.2314400437692967E-4</v>
      </c>
      <c r="F19" s="22">
        <f t="shared" si="3"/>
        <v>0</v>
      </c>
      <c r="G19" s="22">
        <f t="shared" si="4"/>
        <v>0</v>
      </c>
    </row>
    <row r="20" spans="1:8" x14ac:dyDescent="0.3">
      <c r="A20" s="54">
        <v>30</v>
      </c>
      <c r="B20" s="55">
        <f t="shared" si="1"/>
        <v>0</v>
      </c>
      <c r="C20" s="55"/>
      <c r="D20" s="56">
        <f t="shared" si="0"/>
        <v>0</v>
      </c>
      <c r="E20" s="57">
        <f t="shared" si="2"/>
        <v>4.2314400437692967E-4</v>
      </c>
      <c r="F20" s="22">
        <f t="shared" si="3"/>
        <v>0</v>
      </c>
      <c r="G20" s="22">
        <f t="shared" si="4"/>
        <v>0</v>
      </c>
    </row>
    <row r="21" spans="1:8" x14ac:dyDescent="0.3">
      <c r="A21" s="58">
        <v>15</v>
      </c>
      <c r="B21" s="59">
        <f t="shared" si="1"/>
        <v>0</v>
      </c>
      <c r="C21" s="59"/>
      <c r="D21" s="60">
        <f t="shared" si="0"/>
        <v>0</v>
      </c>
      <c r="E21" s="61">
        <f t="shared" si="2"/>
        <v>4.2314400437692967E-4</v>
      </c>
      <c r="F21" s="22">
        <f t="shared" si="3"/>
        <v>0</v>
      </c>
      <c r="G21" s="22">
        <f t="shared" si="4"/>
        <v>0</v>
      </c>
    </row>
    <row r="22" spans="1:8" x14ac:dyDescent="0.3">
      <c r="A22" s="58">
        <v>30</v>
      </c>
      <c r="B22" s="59">
        <f t="shared" si="1"/>
        <v>0</v>
      </c>
      <c r="C22" s="59"/>
      <c r="D22" s="60">
        <f t="shared" si="0"/>
        <v>0</v>
      </c>
      <c r="E22" s="61">
        <f t="shared" si="2"/>
        <v>4.2314400437692967E-4</v>
      </c>
      <c r="F22" s="22">
        <f t="shared" si="3"/>
        <v>0</v>
      </c>
      <c r="G22" s="22">
        <f t="shared" si="4"/>
        <v>0</v>
      </c>
    </row>
    <row r="23" spans="1:8" x14ac:dyDescent="0.3">
      <c r="A23" s="62">
        <v>15</v>
      </c>
      <c r="B23" s="63">
        <f t="shared" si="1"/>
        <v>0</v>
      </c>
      <c r="C23" s="63"/>
      <c r="D23" s="64">
        <f t="shared" si="0"/>
        <v>0</v>
      </c>
      <c r="E23" s="65">
        <f t="shared" si="2"/>
        <v>4.2314400437692967E-4</v>
      </c>
      <c r="F23" s="22">
        <f t="shared" si="3"/>
        <v>0</v>
      </c>
      <c r="G23" s="22">
        <f t="shared" si="4"/>
        <v>0</v>
      </c>
    </row>
    <row r="24" spans="1:8" x14ac:dyDescent="0.3">
      <c r="A24" s="62">
        <v>30</v>
      </c>
      <c r="B24" s="63">
        <f t="shared" si="1"/>
        <v>0</v>
      </c>
      <c r="C24" s="63"/>
      <c r="D24" s="64">
        <f t="shared" si="0"/>
        <v>0</v>
      </c>
      <c r="E24" s="65">
        <f t="shared" si="2"/>
        <v>4.2314400437692967E-4</v>
      </c>
      <c r="F24" s="22">
        <f t="shared" si="3"/>
        <v>0</v>
      </c>
      <c r="G24" s="22">
        <f t="shared" si="4"/>
        <v>0</v>
      </c>
    </row>
    <row r="25" spans="1:8" x14ac:dyDescent="0.3">
      <c r="A25" s="66">
        <v>15</v>
      </c>
      <c r="B25" s="67">
        <f t="shared" si="1"/>
        <v>0</v>
      </c>
      <c r="C25" s="67"/>
      <c r="D25" s="68">
        <f t="shared" si="0"/>
        <v>0</v>
      </c>
      <c r="E25" s="69">
        <f t="shared" si="2"/>
        <v>4.2314400437692967E-4</v>
      </c>
      <c r="F25" s="22">
        <f t="shared" si="3"/>
        <v>0</v>
      </c>
      <c r="G25" s="22">
        <f t="shared" si="4"/>
        <v>0</v>
      </c>
    </row>
    <row r="26" spans="1:8" x14ac:dyDescent="0.3">
      <c r="A26" s="66">
        <v>30</v>
      </c>
      <c r="B26" s="67">
        <f t="shared" si="1"/>
        <v>0</v>
      </c>
      <c r="C26" s="67"/>
      <c r="D26" s="68">
        <f t="shared" si="0"/>
        <v>0</v>
      </c>
      <c r="E26" s="69">
        <f t="shared" si="2"/>
        <v>4.2314400437692967E-4</v>
      </c>
      <c r="F26" s="22">
        <f t="shared" si="3"/>
        <v>0</v>
      </c>
      <c r="G26" s="22">
        <f t="shared" si="4"/>
        <v>0</v>
      </c>
      <c r="H26" s="1">
        <f>G26-B26</f>
        <v>0</v>
      </c>
    </row>
    <row r="27" spans="1:8" x14ac:dyDescent="0.3">
      <c r="A27" s="70" t="s">
        <v>27</v>
      </c>
      <c r="B27" s="71"/>
      <c r="C27" s="72">
        <f>SUM(C3:C26)</f>
        <v>0</v>
      </c>
      <c r="F27" s="73">
        <f>SUM(F3:F26)</f>
        <v>0</v>
      </c>
      <c r="G27" s="74"/>
      <c r="H27" s="1"/>
    </row>
    <row r="29" spans="1:8" x14ac:dyDescent="0.3">
      <c r="A29" s="19" t="s">
        <v>21</v>
      </c>
      <c r="B29" s="19" t="s">
        <v>20</v>
      </c>
      <c r="C29" s="19" t="s">
        <v>22</v>
      </c>
      <c r="D29" s="19" t="s">
        <v>23</v>
      </c>
      <c r="E29" s="19" t="s">
        <v>24</v>
      </c>
      <c r="F29" s="19" t="s">
        <v>28</v>
      </c>
      <c r="G29" s="19" t="s">
        <v>2</v>
      </c>
    </row>
    <row r="30" spans="1:8" x14ac:dyDescent="0.3">
      <c r="A30" s="75">
        <v>1</v>
      </c>
      <c r="B30" s="76">
        <v>873</v>
      </c>
      <c r="C30" s="77"/>
      <c r="D30" s="78">
        <f t="shared" ref="D30:D60" si="5">B30+C30</f>
        <v>873</v>
      </c>
      <c r="E30" s="79">
        <f>(1 + $E$1)^(1/252) - 1</f>
        <v>4.2314400437692967E-4</v>
      </c>
      <c r="F30" s="80">
        <f>B30*E30</f>
        <v>0.3694047158210596</v>
      </c>
      <c r="G30" s="80">
        <f>D30+F30</f>
        <v>873.36940471582102</v>
      </c>
    </row>
    <row r="31" spans="1:8" x14ac:dyDescent="0.3">
      <c r="A31" s="75">
        <v>2</v>
      </c>
      <c r="B31" s="76">
        <f>G30</f>
        <v>873.36940471582102</v>
      </c>
      <c r="C31" s="77"/>
      <c r="D31" s="78">
        <f t="shared" si="5"/>
        <v>873.36940471582102</v>
      </c>
      <c r="E31" s="79">
        <f>(1 + $E$1)^(1/252) - 1</f>
        <v>4.2314400437692967E-4</v>
      </c>
      <c r="F31" s="80">
        <f t="shared" ref="F31:F60" si="6">B31*E31</f>
        <v>0.36956102721174783</v>
      </c>
      <c r="G31" s="80">
        <f t="shared" ref="G31:G60" si="7">D31+F31</f>
        <v>873.73896574303274</v>
      </c>
    </row>
    <row r="32" spans="1:8" x14ac:dyDescent="0.3">
      <c r="A32" s="75">
        <v>3</v>
      </c>
      <c r="B32" s="76">
        <f t="shared" ref="B32:B60" si="8">G31</f>
        <v>873.73896574303274</v>
      </c>
      <c r="C32" s="77"/>
      <c r="D32" s="78">
        <f t="shared" si="5"/>
        <v>873.73896574303274</v>
      </c>
      <c r="E32" s="79">
        <f t="shared" ref="E32:E60" si="9">(1 + $E$1)^(1/252) - 1</f>
        <v>4.2314400437692967E-4</v>
      </c>
      <c r="F32" s="80">
        <f t="shared" si="6"/>
        <v>0.36971740474466386</v>
      </c>
      <c r="G32" s="80">
        <f t="shared" si="7"/>
        <v>874.10868314777736</v>
      </c>
    </row>
    <row r="33" spans="1:7" x14ac:dyDescent="0.3">
      <c r="A33" s="75">
        <v>4</v>
      </c>
      <c r="B33" s="76">
        <f t="shared" si="8"/>
        <v>874.10868314777736</v>
      </c>
      <c r="C33" s="77"/>
      <c r="D33" s="78">
        <f t="shared" si="5"/>
        <v>874.10868314777736</v>
      </c>
      <c r="E33" s="79">
        <f t="shared" si="9"/>
        <v>4.2314400437692967E-4</v>
      </c>
      <c r="F33" s="80">
        <f t="shared" si="6"/>
        <v>0.36987384844779531</v>
      </c>
      <c r="G33" s="80">
        <f t="shared" si="7"/>
        <v>874.47855699622517</v>
      </c>
    </row>
    <row r="34" spans="1:7" x14ac:dyDescent="0.3">
      <c r="A34" s="75">
        <v>5</v>
      </c>
      <c r="B34" s="76">
        <f t="shared" si="8"/>
        <v>874.47855699622517</v>
      </c>
      <c r="C34" s="77"/>
      <c r="D34" s="78">
        <f t="shared" si="5"/>
        <v>874.47855699622517</v>
      </c>
      <c r="E34" s="79">
        <f t="shared" si="9"/>
        <v>4.2314400437692967E-4</v>
      </c>
      <c r="F34" s="80">
        <f t="shared" si="6"/>
        <v>0.37003035834914183</v>
      </c>
      <c r="G34" s="80">
        <f t="shared" si="7"/>
        <v>874.84858735457431</v>
      </c>
    </row>
    <row r="35" spans="1:7" x14ac:dyDescent="0.3">
      <c r="A35" s="75">
        <v>6</v>
      </c>
      <c r="B35" s="76">
        <f t="shared" si="8"/>
        <v>874.84858735457431</v>
      </c>
      <c r="C35" s="77"/>
      <c r="D35" s="78">
        <f t="shared" si="5"/>
        <v>874.84858735457431</v>
      </c>
      <c r="E35" s="79">
        <f t="shared" si="9"/>
        <v>4.2314400437692967E-4</v>
      </c>
      <c r="F35" s="80">
        <f t="shared" si="6"/>
        <v>0.37018693447671475</v>
      </c>
      <c r="G35" s="80">
        <f t="shared" si="7"/>
        <v>875.218774289051</v>
      </c>
    </row>
    <row r="36" spans="1:7" x14ac:dyDescent="0.3">
      <c r="A36" s="75">
        <v>7</v>
      </c>
      <c r="B36" s="76">
        <f t="shared" si="8"/>
        <v>875.218774289051</v>
      </c>
      <c r="C36" s="77"/>
      <c r="D36" s="78">
        <f t="shared" si="5"/>
        <v>875.218774289051</v>
      </c>
      <c r="E36" s="79">
        <f t="shared" si="9"/>
        <v>4.2314400437692967E-4</v>
      </c>
      <c r="F36" s="80">
        <f t="shared" si="6"/>
        <v>0.37034357685853719</v>
      </c>
      <c r="G36" s="80">
        <f t="shared" si="7"/>
        <v>875.58911786590954</v>
      </c>
    </row>
    <row r="37" spans="1:7" x14ac:dyDescent="0.3">
      <c r="A37" s="75">
        <v>8</v>
      </c>
      <c r="B37" s="76">
        <f t="shared" si="8"/>
        <v>875.58911786590954</v>
      </c>
      <c r="C37" s="77"/>
      <c r="D37" s="78">
        <f t="shared" si="5"/>
        <v>875.58911786590954</v>
      </c>
      <c r="E37" s="79">
        <f t="shared" si="9"/>
        <v>4.2314400437692967E-4</v>
      </c>
      <c r="F37" s="80">
        <f t="shared" si="6"/>
        <v>0.37050028552264441</v>
      </c>
      <c r="G37" s="80">
        <f t="shared" si="7"/>
        <v>875.95961815143221</v>
      </c>
    </row>
    <row r="38" spans="1:7" x14ac:dyDescent="0.3">
      <c r="A38" s="75">
        <v>9</v>
      </c>
      <c r="B38" s="76">
        <f t="shared" si="8"/>
        <v>875.95961815143221</v>
      </c>
      <c r="C38" s="77"/>
      <c r="D38" s="78">
        <f t="shared" si="5"/>
        <v>875.95961815143221</v>
      </c>
      <c r="E38" s="79">
        <f t="shared" si="9"/>
        <v>4.2314400437692967E-4</v>
      </c>
      <c r="F38" s="80">
        <f t="shared" si="6"/>
        <v>0.3706570604970833</v>
      </c>
      <c r="G38" s="80">
        <f t="shared" si="7"/>
        <v>876.33027521192935</v>
      </c>
    </row>
    <row r="39" spans="1:7" x14ac:dyDescent="0.3">
      <c r="A39" s="75">
        <v>10</v>
      </c>
      <c r="B39" s="76">
        <f t="shared" si="8"/>
        <v>876.33027521192935</v>
      </c>
      <c r="C39" s="77"/>
      <c r="D39" s="78">
        <f t="shared" si="5"/>
        <v>876.33027521192935</v>
      </c>
      <c r="E39" s="79">
        <f t="shared" si="9"/>
        <v>4.2314400437692967E-4</v>
      </c>
      <c r="F39" s="80">
        <f t="shared" si="6"/>
        <v>0.37081390180991264</v>
      </c>
      <c r="G39" s="80">
        <f t="shared" si="7"/>
        <v>876.70108911373927</v>
      </c>
    </row>
    <row r="40" spans="1:7" x14ac:dyDescent="0.3">
      <c r="A40" s="75">
        <v>11</v>
      </c>
      <c r="B40" s="76">
        <f t="shared" si="8"/>
        <v>876.70108911373927</v>
      </c>
      <c r="C40" s="77"/>
      <c r="D40" s="78">
        <f t="shared" si="5"/>
        <v>876.70108911373927</v>
      </c>
      <c r="E40" s="79">
        <f t="shared" si="9"/>
        <v>4.2314400437692967E-4</v>
      </c>
      <c r="F40" s="80">
        <f t="shared" si="6"/>
        <v>0.37097080948920308</v>
      </c>
      <c r="G40" s="80">
        <f t="shared" si="7"/>
        <v>877.07205992322849</v>
      </c>
    </row>
    <row r="41" spans="1:7" x14ac:dyDescent="0.3">
      <c r="A41" s="75">
        <v>12</v>
      </c>
      <c r="B41" s="76">
        <f t="shared" si="8"/>
        <v>877.07205992322849</v>
      </c>
      <c r="C41" s="77"/>
      <c r="D41" s="78">
        <f t="shared" si="5"/>
        <v>877.07205992322849</v>
      </c>
      <c r="E41" s="79">
        <f t="shared" si="9"/>
        <v>4.2314400437692967E-4</v>
      </c>
      <c r="F41" s="80">
        <f t="shared" si="6"/>
        <v>0.37112778356303733</v>
      </c>
      <c r="G41" s="80">
        <f t="shared" si="7"/>
        <v>877.44318770679149</v>
      </c>
    </row>
    <row r="42" spans="1:7" x14ac:dyDescent="0.3">
      <c r="A42" s="75">
        <v>13</v>
      </c>
      <c r="B42" s="76">
        <f t="shared" si="8"/>
        <v>877.44318770679149</v>
      </c>
      <c r="C42" s="77"/>
      <c r="D42" s="78">
        <f t="shared" si="5"/>
        <v>877.44318770679149</v>
      </c>
      <c r="E42" s="79">
        <f t="shared" si="9"/>
        <v>4.2314400437692967E-4</v>
      </c>
      <c r="F42" s="80">
        <f t="shared" si="6"/>
        <v>0.37128482405950969</v>
      </c>
      <c r="G42" s="80">
        <f t="shared" si="7"/>
        <v>877.81447253085105</v>
      </c>
    </row>
    <row r="43" spans="1:7" x14ac:dyDescent="0.3">
      <c r="A43" s="75">
        <v>14</v>
      </c>
      <c r="B43" s="76">
        <f t="shared" si="8"/>
        <v>877.81447253085105</v>
      </c>
      <c r="C43" s="77"/>
      <c r="D43" s="78">
        <f t="shared" si="5"/>
        <v>877.81447253085105</v>
      </c>
      <c r="E43" s="79">
        <f t="shared" si="9"/>
        <v>4.2314400437692967E-4</v>
      </c>
      <c r="F43" s="80">
        <f t="shared" si="6"/>
        <v>0.37144193100672662</v>
      </c>
      <c r="G43" s="80">
        <f t="shared" si="7"/>
        <v>878.18591446185781</v>
      </c>
    </row>
    <row r="44" spans="1:7" x14ac:dyDescent="0.3">
      <c r="A44" s="75">
        <v>15</v>
      </c>
      <c r="B44" s="76">
        <f t="shared" si="8"/>
        <v>878.18591446185781</v>
      </c>
      <c r="C44" s="77"/>
      <c r="D44" s="78">
        <f t="shared" si="5"/>
        <v>878.18591446185781</v>
      </c>
      <c r="E44" s="79">
        <f t="shared" si="9"/>
        <v>4.2314400437692967E-4</v>
      </c>
      <c r="F44" s="80">
        <f t="shared" si="6"/>
        <v>0.37159910443280636</v>
      </c>
      <c r="G44" s="80">
        <f t="shared" si="7"/>
        <v>878.5575135662906</v>
      </c>
    </row>
    <row r="45" spans="1:7" x14ac:dyDescent="0.3">
      <c r="A45" s="75">
        <v>16</v>
      </c>
      <c r="B45" s="76">
        <f t="shared" si="8"/>
        <v>878.5575135662906</v>
      </c>
      <c r="C45" s="77"/>
      <c r="D45" s="78">
        <f t="shared" si="5"/>
        <v>878.5575135662906</v>
      </c>
      <c r="E45" s="79">
        <f t="shared" si="9"/>
        <v>4.2314400437692967E-4</v>
      </c>
      <c r="F45" s="80">
        <f t="shared" si="6"/>
        <v>0.3717563443658789</v>
      </c>
      <c r="G45" s="80">
        <f t="shared" si="7"/>
        <v>878.92926991065644</v>
      </c>
    </row>
    <row r="46" spans="1:7" x14ac:dyDescent="0.3">
      <c r="A46" s="75">
        <v>17</v>
      </c>
      <c r="B46" s="76">
        <f t="shared" si="8"/>
        <v>878.92926991065644</v>
      </c>
      <c r="C46" s="77"/>
      <c r="D46" s="78">
        <f t="shared" si="5"/>
        <v>878.92926991065644</v>
      </c>
      <c r="E46" s="79">
        <f t="shared" si="9"/>
        <v>4.2314400437692967E-4</v>
      </c>
      <c r="F46" s="80">
        <f t="shared" si="6"/>
        <v>0.3719136508340864</v>
      </c>
      <c r="G46" s="80">
        <f t="shared" si="7"/>
        <v>879.30118356149057</v>
      </c>
    </row>
    <row r="47" spans="1:7" x14ac:dyDescent="0.3">
      <c r="A47" s="75">
        <v>18</v>
      </c>
      <c r="B47" s="76">
        <f t="shared" si="8"/>
        <v>879.30118356149057</v>
      </c>
      <c r="C47" s="77"/>
      <c r="D47" s="78">
        <f t="shared" si="5"/>
        <v>879.30118356149057</v>
      </c>
      <c r="E47" s="79">
        <f t="shared" si="9"/>
        <v>4.2314400437692967E-4</v>
      </c>
      <c r="F47" s="80">
        <f t="shared" si="6"/>
        <v>0.37207102386558283</v>
      </c>
      <c r="G47" s="80">
        <f t="shared" si="7"/>
        <v>879.67325458535618</v>
      </c>
    </row>
    <row r="48" spans="1:7" x14ac:dyDescent="0.3">
      <c r="A48" s="75">
        <v>19</v>
      </c>
      <c r="B48" s="76">
        <f t="shared" si="8"/>
        <v>879.67325458535618</v>
      </c>
      <c r="C48" s="77"/>
      <c r="D48" s="78">
        <f t="shared" si="5"/>
        <v>879.67325458535618</v>
      </c>
      <c r="E48" s="79">
        <f t="shared" si="9"/>
        <v>4.2314400437692967E-4</v>
      </c>
      <c r="F48" s="80">
        <f t="shared" si="6"/>
        <v>0.37222846348853394</v>
      </c>
      <c r="G48" s="80">
        <f t="shared" si="7"/>
        <v>880.04548304884474</v>
      </c>
    </row>
    <row r="49" spans="1:8" x14ac:dyDescent="0.3">
      <c r="A49" s="75">
        <v>20</v>
      </c>
      <c r="B49" s="76">
        <f t="shared" si="8"/>
        <v>880.04548304884474</v>
      </c>
      <c r="C49" s="77"/>
      <c r="D49" s="78">
        <f t="shared" si="5"/>
        <v>880.04548304884474</v>
      </c>
      <c r="E49" s="79">
        <f t="shared" si="9"/>
        <v>4.2314400437692967E-4</v>
      </c>
      <c r="F49" s="80">
        <f t="shared" si="6"/>
        <v>0.37238596973111754</v>
      </c>
      <c r="G49" s="80">
        <f t="shared" si="7"/>
        <v>880.41786901857586</v>
      </c>
    </row>
    <row r="50" spans="1:8" x14ac:dyDescent="0.3">
      <c r="A50" s="75">
        <v>21</v>
      </c>
      <c r="B50" s="76">
        <f t="shared" si="8"/>
        <v>880.41786901857586</v>
      </c>
      <c r="C50" s="77"/>
      <c r="D50" s="78">
        <f t="shared" si="5"/>
        <v>880.41786901857586</v>
      </c>
      <c r="E50" s="79">
        <f t="shared" si="9"/>
        <v>4.2314400437692967E-4</v>
      </c>
      <c r="F50" s="80">
        <f t="shared" si="6"/>
        <v>0.37254354262152334</v>
      </c>
      <c r="G50" s="80">
        <f t="shared" si="7"/>
        <v>880.7904125611974</v>
      </c>
    </row>
    <row r="51" spans="1:8" x14ac:dyDescent="0.3">
      <c r="A51" s="75">
        <v>22</v>
      </c>
      <c r="B51" s="76">
        <f t="shared" si="8"/>
        <v>880.7904125611974</v>
      </c>
      <c r="C51" s="77"/>
      <c r="D51" s="78">
        <f t="shared" si="5"/>
        <v>880.7904125611974</v>
      </c>
      <c r="E51" s="79">
        <f t="shared" si="9"/>
        <v>4.2314400437692967E-4</v>
      </c>
      <c r="F51" s="80">
        <f t="shared" si="6"/>
        <v>0.37270118218795301</v>
      </c>
      <c r="G51" s="80">
        <f t="shared" si="7"/>
        <v>881.16311374338534</v>
      </c>
    </row>
    <row r="52" spans="1:8" x14ac:dyDescent="0.3">
      <c r="A52" s="75">
        <v>23</v>
      </c>
      <c r="B52" s="76">
        <f t="shared" si="8"/>
        <v>881.16311374338534</v>
      </c>
      <c r="C52" s="77"/>
      <c r="D52" s="78">
        <f t="shared" si="5"/>
        <v>881.16311374338534</v>
      </c>
      <c r="E52" s="79">
        <f t="shared" si="9"/>
        <v>4.2314400437692967E-4</v>
      </c>
      <c r="F52" s="80">
        <f t="shared" si="6"/>
        <v>0.37285888845862003</v>
      </c>
      <c r="G52" s="80">
        <f t="shared" si="7"/>
        <v>881.53597263184395</v>
      </c>
    </row>
    <row r="53" spans="1:8" x14ac:dyDescent="0.3">
      <c r="A53" s="75">
        <v>24</v>
      </c>
      <c r="B53" s="76">
        <f t="shared" si="8"/>
        <v>881.53597263184395</v>
      </c>
      <c r="C53" s="77"/>
      <c r="D53" s="78">
        <f t="shared" si="5"/>
        <v>881.53597263184395</v>
      </c>
      <c r="E53" s="79">
        <f t="shared" si="9"/>
        <v>4.2314400437692967E-4</v>
      </c>
      <c r="F53" s="80">
        <f t="shared" si="6"/>
        <v>0.37301666146174994</v>
      </c>
      <c r="G53" s="80">
        <f t="shared" si="7"/>
        <v>881.90898929330569</v>
      </c>
    </row>
    <row r="54" spans="1:8" x14ac:dyDescent="0.3">
      <c r="A54" s="75">
        <v>25</v>
      </c>
      <c r="B54" s="76">
        <f t="shared" si="8"/>
        <v>881.90898929330569</v>
      </c>
      <c r="C54" s="77"/>
      <c r="D54" s="78">
        <f t="shared" si="5"/>
        <v>881.90898929330569</v>
      </c>
      <c r="E54" s="79">
        <f t="shared" si="9"/>
        <v>4.2314400437692967E-4</v>
      </c>
      <c r="F54" s="80">
        <f t="shared" si="6"/>
        <v>0.37317450122558016</v>
      </c>
      <c r="G54" s="80">
        <f t="shared" si="7"/>
        <v>882.28216379453124</v>
      </c>
    </row>
    <row r="55" spans="1:8" x14ac:dyDescent="0.3">
      <c r="A55" s="75">
        <v>26</v>
      </c>
      <c r="B55" s="76">
        <f t="shared" si="8"/>
        <v>882.28216379453124</v>
      </c>
      <c r="C55" s="77"/>
      <c r="D55" s="78">
        <f t="shared" si="5"/>
        <v>882.28216379453124</v>
      </c>
      <c r="E55" s="79">
        <f t="shared" si="9"/>
        <v>4.2314400437692967E-4</v>
      </c>
      <c r="F55" s="80">
        <f t="shared" si="6"/>
        <v>0.37333240777836013</v>
      </c>
      <c r="G55" s="80">
        <f t="shared" si="7"/>
        <v>882.65549620230956</v>
      </c>
    </row>
    <row r="56" spans="1:8" x14ac:dyDescent="0.3">
      <c r="A56" s="75">
        <v>27</v>
      </c>
      <c r="B56" s="76">
        <f t="shared" si="8"/>
        <v>882.65549620230956</v>
      </c>
      <c r="C56" s="77"/>
      <c r="D56" s="78">
        <f t="shared" si="5"/>
        <v>882.65549620230956</v>
      </c>
      <c r="E56" s="79">
        <f t="shared" si="9"/>
        <v>4.2314400437692967E-4</v>
      </c>
      <c r="F56" s="80">
        <f t="shared" si="6"/>
        <v>0.37349038114835109</v>
      </c>
      <c r="G56" s="80">
        <f t="shared" si="7"/>
        <v>883.02898658345794</v>
      </c>
    </row>
    <row r="57" spans="1:8" x14ac:dyDescent="0.3">
      <c r="A57" s="75">
        <v>28</v>
      </c>
      <c r="B57" s="76">
        <f t="shared" si="8"/>
        <v>883.02898658345794</v>
      </c>
      <c r="C57" s="77"/>
      <c r="D57" s="78">
        <f t="shared" si="5"/>
        <v>883.02898658345794</v>
      </c>
      <c r="E57" s="79">
        <f t="shared" si="9"/>
        <v>4.2314400437692967E-4</v>
      </c>
      <c r="F57" s="80">
        <f t="shared" si="6"/>
        <v>0.37364842136382648</v>
      </c>
      <c r="G57" s="80">
        <f t="shared" si="7"/>
        <v>883.40263500482172</v>
      </c>
    </row>
    <row r="58" spans="1:8" x14ac:dyDescent="0.3">
      <c r="A58" s="75">
        <v>29</v>
      </c>
      <c r="B58" s="76">
        <f t="shared" si="8"/>
        <v>883.40263500482172</v>
      </c>
      <c r="C58" s="77"/>
      <c r="D58" s="78">
        <f t="shared" si="5"/>
        <v>883.40263500482172</v>
      </c>
      <c r="E58" s="79">
        <f t="shared" si="9"/>
        <v>4.2314400437692967E-4</v>
      </c>
      <c r="F58" s="80">
        <f t="shared" si="6"/>
        <v>0.3738065284530715</v>
      </c>
      <c r="G58" s="80">
        <f t="shared" si="7"/>
        <v>883.77644153327481</v>
      </c>
    </row>
    <row r="59" spans="1:8" x14ac:dyDescent="0.3">
      <c r="A59" s="75">
        <v>30</v>
      </c>
      <c r="B59" s="76">
        <f t="shared" si="8"/>
        <v>883.77644153327481</v>
      </c>
      <c r="C59" s="77"/>
      <c r="D59" s="78">
        <f t="shared" si="5"/>
        <v>883.77644153327481</v>
      </c>
      <c r="E59" s="79">
        <f t="shared" si="9"/>
        <v>4.2314400437692967E-4</v>
      </c>
      <c r="F59" s="80">
        <f t="shared" si="6"/>
        <v>0.37396470244438335</v>
      </c>
      <c r="G59" s="80">
        <f t="shared" si="7"/>
        <v>884.15040623571917</v>
      </c>
    </row>
    <row r="60" spans="1:8" x14ac:dyDescent="0.3">
      <c r="A60" s="75">
        <v>31</v>
      </c>
      <c r="B60" s="76">
        <f t="shared" si="8"/>
        <v>884.15040623571917</v>
      </c>
      <c r="C60" s="77"/>
      <c r="D60" s="78">
        <f t="shared" si="5"/>
        <v>884.15040623571917</v>
      </c>
      <c r="E60" s="79">
        <f t="shared" si="9"/>
        <v>4.2314400437692967E-4</v>
      </c>
      <c r="F60" s="80">
        <f t="shared" si="6"/>
        <v>0.37412294336607133</v>
      </c>
      <c r="G60" s="80">
        <f t="shared" si="7"/>
        <v>884.52452917908522</v>
      </c>
      <c r="H60" s="1"/>
    </row>
    <row r="61" spans="1:8" x14ac:dyDescent="0.3">
      <c r="C61" s="1">
        <f>SUM(C30:C60)</f>
        <v>0</v>
      </c>
      <c r="F61" s="81">
        <f>SUM(F30:F60)</f>
        <v>11.52452917908527</v>
      </c>
      <c r="G61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Conf</vt:lpstr>
      <vt:lpstr>bd</vt:lpstr>
      <vt:lpstr>Despesas</vt:lpstr>
      <vt:lpstr>ResumoFinanceiro</vt:lpstr>
      <vt:lpstr>Investimento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Medrado (C)</dc:creator>
  <cp:lastModifiedBy>Vinicius Medrado (C)</cp:lastModifiedBy>
  <dcterms:created xsi:type="dcterms:W3CDTF">2025-07-21T21:01:14Z</dcterms:created>
  <dcterms:modified xsi:type="dcterms:W3CDTF">2025-10-17T16:59:34Z</dcterms:modified>
</cp:coreProperties>
</file>